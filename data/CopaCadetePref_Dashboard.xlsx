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Resumen" sheetId="1" state="visible" r:id="rId3"/>
    <sheet name="⚽ Resultados 16avos" sheetId="2" state="visible" r:id="rId4"/>
    <sheet name="🏆 Eliminatorias" sheetId="3" state="visible" r:id="rId5"/>
    <sheet name="✅ Clasificados Octavos" sheetId="4" state="visible" r:id="rId6"/>
    <sheet name="🥅 Goleadores" sheetId="5" state="visible" r:id="rId7"/>
    <sheet name="📈 Stats Equipos" sheetId="6" state="visible" r:id="rId8"/>
    <sheet name="🔜 Octavos de Final" sheetId="7" state="visible" r:id="rId9"/>
    <sheet name="🟡 Árbitr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<sst xmlns="http://schemas.openxmlformats.org/spreadsheetml/2006/main" count="620" uniqueCount="291">
  <si>
    <t xml:space="preserve">COPA CADETE PREFERENTE – GRUPO 1  |  Temporada 2025-2026</t>
  </si>
  <si>
    <t xml:space="preserve">Federación Interinsular de Fútbol de Tenerife</t>
  </si>
  <si>
    <t xml:space="preserve">INDICADORES CLAVE</t>
  </si>
  <si>
    <t xml:space="preserve">Equipos
Participantes</t>
  </si>
  <si>
    <t xml:space="preserve">Rondas
Jugadas</t>
  </si>
  <si>
    <t xml:space="preserve">Partidos
Jugados (ida+vuelta)</t>
  </si>
  <si>
    <t xml:space="preserve">Goles
Marcados</t>
  </si>
  <si>
    <t xml:space="preserve">Media Goles
/ Partido</t>
  </si>
  <si>
    <t xml:space="preserve">EQUIPOS PARTICIPANTES (26)</t>
  </si>
  <si>
    <t xml:space="preserve">CALENDARIO DE FASES</t>
  </si>
  <si>
    <t xml:space="preserve">A.D. CHINCANAYRO "A"</t>
  </si>
  <si>
    <t xml:space="preserve">Fase</t>
  </si>
  <si>
    <t xml:space="preserve">Fechas</t>
  </si>
  <si>
    <t xml:space="preserve">Estado</t>
  </si>
  <si>
    <t xml:space="preserve">A.J. UNION LA PAZ "A"</t>
  </si>
  <si>
    <t xml:space="preserve">Dieciseisavos (Ida)</t>
  </si>
  <si>
    <t xml:space="preserve">07-10/05/2026</t>
  </si>
  <si>
    <t xml:space="preserve">✅ Completada</t>
  </si>
  <si>
    <t xml:space="preserve">C.D. AFB. TEGUESTE "A"</t>
  </si>
  <si>
    <t xml:space="preserve">Dieciseisavos (Vuelta)</t>
  </si>
  <si>
    <t xml:space="preserve">15-17/05/2026</t>
  </si>
  <si>
    <t xml:space="preserve">C.D. AGUILAS "B"</t>
  </si>
  <si>
    <t xml:space="preserve">Octavos (Ida)</t>
  </si>
  <si>
    <t xml:space="preserve">22-24/05/2026</t>
  </si>
  <si>
    <t xml:space="preserve">🔜 Próxima</t>
  </si>
  <si>
    <t xml:space="preserve">C.D. ANADONA C.F. "A"</t>
  </si>
  <si>
    <t xml:space="preserve">Octavos (Vuelta)</t>
  </si>
  <si>
    <t xml:space="preserve">29-31/05/2026</t>
  </si>
  <si>
    <t xml:space="preserve">⏳ Pendiente</t>
  </si>
  <si>
    <t xml:space="preserve">C.D. BEDIJO EL ROSARIO C.F. "A"</t>
  </si>
  <si>
    <t xml:space="preserve">Cuartos (Ida)</t>
  </si>
  <si>
    <t xml:space="preserve">07/06/2026</t>
  </si>
  <si>
    <t xml:space="preserve">C.D. BUZANADA "A"</t>
  </si>
  <si>
    <t xml:space="preserve">Semifinales (Ida)</t>
  </si>
  <si>
    <t xml:space="preserve">14/06/2026</t>
  </si>
  <si>
    <t xml:space="preserve">C.D. EL TRANVIA "A"</t>
  </si>
  <si>
    <t xml:space="preserve">Final</t>
  </si>
  <si>
    <t xml:space="preserve">21/06/2026</t>
  </si>
  <si>
    <t xml:space="preserve">C.D. JVT. SILENSE "A"</t>
  </si>
  <si>
    <t xml:space="preserve">C.D. RAQUI LABRADOR "B"</t>
  </si>
  <si>
    <t xml:space="preserve">C.D. SAN ANDRES "A"</t>
  </si>
  <si>
    <t xml:space="preserve">C.D. SAN MARCOS-ICOD "A"</t>
  </si>
  <si>
    <t xml:space="preserve">C.D. SAUZAL SABATER "A"</t>
  </si>
  <si>
    <t xml:space="preserve">C.D. UNION TEJINA "A"</t>
  </si>
  <si>
    <t xml:space="preserve">C.D. VERDELLADA "A"</t>
  </si>
  <si>
    <t xml:space="preserve">E.M.F. SANTIAGO DEL TEIDE "A"</t>
  </si>
  <si>
    <t xml:space="preserve">ESFERICO F.C. "B"</t>
  </si>
  <si>
    <t xml:space="preserve">FURIA ARONA REST. LAS GANGARRAS "A"</t>
  </si>
  <si>
    <t xml:space="preserve">REAL UNION TENERIFE S/C "B"</t>
  </si>
  <si>
    <t xml:space="preserve">S.D. VALLESECO "B"</t>
  </si>
  <si>
    <t xml:space="preserve">SAN FERNANDO REY C.F. "A"</t>
  </si>
  <si>
    <t xml:space="preserve">U.D LAS ZOCAS "A"</t>
  </si>
  <si>
    <t xml:space="preserve">U.D. COROMOTO "B"</t>
  </si>
  <si>
    <t xml:space="preserve">U.D. OROTAVA "A"</t>
  </si>
  <si>
    <t xml:space="preserve">U.D. TACO SAN LUIS "A"</t>
  </si>
  <si>
    <t xml:space="preserve">U.D. TAHODIO "A"</t>
  </si>
  <si>
    <t xml:space="preserve">RESULTADOS – DIECISEISAVOS DE FINAL  |  Copa Cadete Preferente 2025-2026</t>
  </si>
  <si>
    <t xml:space="preserve">Partido</t>
  </si>
  <si>
    <t xml:space="preserve">Equipo Local</t>
  </si>
  <si>
    <t xml:space="preserve">Goles Local</t>
  </si>
  <si>
    <t xml:space="preserve">Goles Visitante</t>
  </si>
  <si>
    <t xml:space="preserve">Equipo Visitante</t>
  </si>
  <si>
    <t xml:space="preserve">Fecha</t>
  </si>
  <si>
    <t xml:space="preserve">Hora</t>
  </si>
  <si>
    <t xml:space="preserve">Campo</t>
  </si>
  <si>
    <t xml:space="preserve">Tipo Césped</t>
  </si>
  <si>
    <t xml:space="preserve">Árbitro</t>
  </si>
  <si>
    <t xml:space="preserve">Ida</t>
  </si>
  <si>
    <t xml:space="preserve">–</t>
  </si>
  <si>
    <t xml:space="preserve">07/05/2026</t>
  </si>
  <si>
    <t xml:space="preserve">18:30</t>
  </si>
  <si>
    <t xml:space="preserve">TEGUESTE</t>
  </si>
  <si>
    <t xml:space="preserve">CA</t>
  </si>
  <si>
    <t xml:space="preserve">PÉREZ GARCÍA, JAVIER</t>
  </si>
  <si>
    <t xml:space="preserve">08/05/2026</t>
  </si>
  <si>
    <t xml:space="preserve">19:30</t>
  </si>
  <si>
    <t xml:space="preserve">EL SAUZAL</t>
  </si>
  <si>
    <t xml:space="preserve">SUAREZ RODRIGUEZ, MICHAEL</t>
  </si>
  <si>
    <t xml:space="preserve">20:00</t>
  </si>
  <si>
    <t xml:space="preserve">LA VERDELLADA</t>
  </si>
  <si>
    <t xml:space="preserve">PERDOMO RODRÍGUEZ, ALEJANDRO</t>
  </si>
  <si>
    <t xml:space="preserve">09/05/2026</t>
  </si>
  <si>
    <t xml:space="preserve">10:00</t>
  </si>
  <si>
    <t xml:space="preserve">IZQUIERDO RODRIGUEZ</t>
  </si>
  <si>
    <t xml:space="preserve">ÁLVAREZ PEÑA, SHANTALLE KRISTELLE</t>
  </si>
  <si>
    <t xml:space="preserve">CHANO HDEZ. BRITO</t>
  </si>
  <si>
    <t xml:space="preserve">BACALLADO NEGRÍN, EHEDEY</t>
  </si>
  <si>
    <t xml:space="preserve">12:00</t>
  </si>
  <si>
    <t xml:space="preserve">PABLOS ABRIL</t>
  </si>
  <si>
    <t xml:space="preserve">QUINTERO ÁLVAREZ, CRISTO YENEBI</t>
  </si>
  <si>
    <t xml:space="preserve">JUAN VALIENTE</t>
  </si>
  <si>
    <t xml:space="preserve">PRADO SAAVEDRA, JAVIER STEVIE</t>
  </si>
  <si>
    <t xml:space="preserve">LAS ZOCAS</t>
  </si>
  <si>
    <t xml:space="preserve">CARDADOR VARGAS, DAVID</t>
  </si>
  <si>
    <t xml:space="preserve">16:00</t>
  </si>
  <si>
    <t xml:space="preserve">A D E J E</t>
  </si>
  <si>
    <t xml:space="preserve">QUINTERO HERRERA, KIRIAN</t>
  </si>
  <si>
    <t xml:space="preserve">10/05/2026</t>
  </si>
  <si>
    <t xml:space="preserve">17:00</t>
  </si>
  <si>
    <t xml:space="preserve">JUAN SANTAMARIA</t>
  </si>
  <si>
    <t xml:space="preserve">RODRÍGUEZ ALVARADO, JUAN YOEL</t>
  </si>
  <si>
    <t xml:space="preserve">Vuelta</t>
  </si>
  <si>
    <t xml:space="preserve">15/05/2026</t>
  </si>
  <si>
    <t xml:space="preserve">19:00</t>
  </si>
  <si>
    <t xml:space="preserve">MARIA JIMENEZ</t>
  </si>
  <si>
    <t xml:space="preserve">RODRÍGUEZ ROMERO, SANTIAGO JOSÉ</t>
  </si>
  <si>
    <t xml:space="preserve">VALLESECO</t>
  </si>
  <si>
    <t xml:space="preserve">PÉREZ NAVARRO, SAMUEL</t>
  </si>
  <si>
    <t xml:space="preserve">LA ESPERANZA</t>
  </si>
  <si>
    <t xml:space="preserve">LEDESMA GONZÁLEZ, ROSENDO</t>
  </si>
  <si>
    <t xml:space="preserve">LA ALEGRIA</t>
  </si>
  <si>
    <t xml:space="preserve">RODRÍGUEZ RODRÍGUEZ, ALEJANDRO</t>
  </si>
  <si>
    <t xml:space="preserve">20:30</t>
  </si>
  <si>
    <t xml:space="preserve">EL MEDANO</t>
  </si>
  <si>
    <t xml:space="preserve">21:00</t>
  </si>
  <si>
    <t xml:space="preserve">LA SALUD</t>
  </si>
  <si>
    <t xml:space="preserve">MORA DE LEÓN, ÁLVARO</t>
  </si>
  <si>
    <t xml:space="preserve">16/05/2026</t>
  </si>
  <si>
    <t xml:space="preserve">LOS CUARTOS</t>
  </si>
  <si>
    <t xml:space="preserve">CN</t>
  </si>
  <si>
    <t xml:space="preserve">DE ARA PAGÉS, ALONSO</t>
  </si>
  <si>
    <t xml:space="preserve">17/05/2026</t>
  </si>
  <si>
    <t xml:space="preserve">11:00</t>
  </si>
  <si>
    <t xml:space="preserve">PUERTO SANTIAGO</t>
  </si>
  <si>
    <t xml:space="preserve">PADRÓN RIVERO, LUCA</t>
  </si>
  <si>
    <t xml:space="preserve">BUZANADA</t>
  </si>
  <si>
    <t xml:space="preserve">MARTÍNEZ CASTAÑEDA, SERGIO</t>
  </si>
  <si>
    <t xml:space="preserve">17:30</t>
  </si>
  <si>
    <t xml:space="preserve">GARCIA ESCAMEZ</t>
  </si>
  <si>
    <t xml:space="preserve">MARICHAL GONZÁLEZ, ALONSO</t>
  </si>
  <si>
    <t xml:space="preserve">ELIMINATORIAS DIECISEISAVOS – RESULTADO GLOBAL (IDA + VUELTA)</t>
  </si>
  <si>
    <t xml:space="preserve">Elim.</t>
  </si>
  <si>
    <t xml:space="preserve">Equipo A</t>
  </si>
  <si>
    <t xml:space="preserve">Goles Ida A</t>
  </si>
  <si>
    <t xml:space="preserve">Goles Vuelta A</t>
  </si>
  <si>
    <t xml:space="preserve">Total A</t>
  </si>
  <si>
    <t xml:space="preserve">Total B</t>
  </si>
  <si>
    <t xml:space="preserve">Goles Vuelta B</t>
  </si>
  <si>
    <t xml:space="preserve">Goles Ida B</t>
  </si>
  <si>
    <t xml:space="preserve">Equipo B</t>
  </si>
  <si>
    <t xml:space="preserve">Clasificado</t>
  </si>
  <si>
    <t xml:space="preserve">C.D. BEDIJO EL ROSARIO C.F."A"</t>
  </si>
  <si>
    <t xml:space="preserve">EQUIPOS CLASIFICADOS PARA OCTAVOS DE FINAL</t>
  </si>
  <si>
    <t xml:space="preserve">#</t>
  </si>
  <si>
    <t xml:space="preserve">Equipo Clasificado</t>
  </si>
  <si>
    <t xml:space="preserve">Eliminó a</t>
  </si>
  <si>
    <t xml:space="preserve">Goles Marcados</t>
  </si>
  <si>
    <t xml:space="preserve">Goles Encajados</t>
  </si>
  <si>
    <t xml:space="preserve">Dif. Goles</t>
  </si>
  <si>
    <t xml:space="preserve">Partido Octavos (Ida)</t>
  </si>
  <si>
    <t xml:space="preserve">vs REAL UNION TENERIFE S/C "B" (22/05 - Vuelta 30/05)</t>
  </si>
  <si>
    <t xml:space="preserve">vs U.D LAS ZOCAS "A" (24/05 - Vuelta 30/05)</t>
  </si>
  <si>
    <t xml:space="preserve">vs U.D. COROMOTO "B" (24/05 - Vuelta 29/05)</t>
  </si>
  <si>
    <t xml:space="preserve">vs FURIA ARONA REST. LAS GANGARRAS "A" (24/05 - Vuelta 31/05)</t>
  </si>
  <si>
    <t xml:space="preserve">vs A.D. CHINCANAYRO "A" (24/05 - Vuelta 30/05)</t>
  </si>
  <si>
    <t xml:space="preserve">vs C.D. SAN ANDRES "A" (22/05 - Vuelta 30/05)</t>
  </si>
  <si>
    <t xml:space="preserve">vs C.D. RAQUI LABRADOR "B" (23/05 - Vuelta 31/05)</t>
  </si>
  <si>
    <t xml:space="preserve">vs S.D. VALLESECO "B" (24/05 - Vuelta 30/05)</t>
  </si>
  <si>
    <t xml:space="preserve">vs C.D. SAN MARCOS-ICOD "A" (23/05 - Vuelta 30/05)</t>
  </si>
  <si>
    <t xml:space="preserve">vs C.D. EL TRANVIA "A" (23/05 - Vuelta 31/05)</t>
  </si>
  <si>
    <t xml:space="preserve">TABLA DE GOLEADORES – Copa Cadete Preferente 2025-2026</t>
  </si>
  <si>
    <t xml:space="preserve">Pos</t>
  </si>
  <si>
    <t xml:space="preserve">Jugador</t>
  </si>
  <si>
    <t xml:space="preserve">Equipo</t>
  </si>
  <si>
    <t xml:space="preserve">PJ</t>
  </si>
  <si>
    <t xml:space="preserve">Goles</t>
  </si>
  <si>
    <t xml:space="preserve">Penaltis</t>
  </si>
  <si>
    <t xml:space="preserve">Media G/PJ</t>
  </si>
  <si>
    <t xml:space="preserve">Goles sin Pen.</t>
  </si>
  <si>
    <t xml:space="preserve">ÁLVAREZ NAVARRO, UBAY</t>
  </si>
  <si>
    <t xml:space="preserve">C.D. VALLESECO B</t>
  </si>
  <si>
    <t xml:space="preserve">MONACO FARIÑA, GABRIELE</t>
  </si>
  <si>
    <t xml:space="preserve">SAN FERNANDO REY C.F. A</t>
  </si>
  <si>
    <t xml:space="preserve">DARIAS GUANCHE, PABLO</t>
  </si>
  <si>
    <t xml:space="preserve">C.D. UNION TEJINA A</t>
  </si>
  <si>
    <t xml:space="preserve">DE LA VEGA OLMEDO, JESUS</t>
  </si>
  <si>
    <t xml:space="preserve">REAL UNION TENERIFE S/C B</t>
  </si>
  <si>
    <t xml:space="preserve">ALONSO VALERIO, ANGEL</t>
  </si>
  <si>
    <t xml:space="preserve">CARABALLO CANINO, IDERSON ESTEBAN</t>
  </si>
  <si>
    <t xml:space="preserve">MORAN LORENZO, MIGUEL</t>
  </si>
  <si>
    <t xml:space="preserve">C.D. BEDIJO EL ROSARIO C.F. A</t>
  </si>
  <si>
    <t xml:space="preserve">JEREZ GARCIA, GUILLERMO</t>
  </si>
  <si>
    <t xml:space="preserve">ESFERICO F.C. B</t>
  </si>
  <si>
    <t xml:space="preserve">CASAÑAS LUIS, PABLO</t>
  </si>
  <si>
    <t xml:space="preserve">C.D. SAUZAL SABATER A</t>
  </si>
  <si>
    <t xml:space="preserve">LENNON PEREZ, LIAM</t>
  </si>
  <si>
    <t xml:space="preserve">DIAO GOUDIABY, SAMBA DAVID</t>
  </si>
  <si>
    <t xml:space="preserve">RAMOS CRUZ, DAYRON</t>
  </si>
  <si>
    <t xml:space="preserve">U.D LAS ZOCAS A</t>
  </si>
  <si>
    <t xml:space="preserve">ENRIQUEZ GARCIA, MARIO DANIEL</t>
  </si>
  <si>
    <t xml:space="preserve">IZQUIERDO GONZALEZ, CRISTIAN</t>
  </si>
  <si>
    <t xml:space="preserve">FALL, BASSISOU</t>
  </si>
  <si>
    <t xml:space="preserve">C.D. AFB. TEGUESTE A</t>
  </si>
  <si>
    <t xml:space="preserve">LUCIA, GIULIANO ROCCO</t>
  </si>
  <si>
    <t xml:space="preserve">C.D. AGUILAS B</t>
  </si>
  <si>
    <t xml:space="preserve">MORALES MEJIAS, ALEXANDER GIOVANNI</t>
  </si>
  <si>
    <t xml:space="preserve">MARAH JALLOW, MOHAMED</t>
  </si>
  <si>
    <t xml:space="preserve">A.J. UNION LA PAZ A</t>
  </si>
  <si>
    <t xml:space="preserve">HERRERA HERNANDEZ, AARON</t>
  </si>
  <si>
    <t xml:space="preserve">U.D. TACO SAN LUIS A</t>
  </si>
  <si>
    <t xml:space="preserve">LOPEZ TOSTE, AARON</t>
  </si>
  <si>
    <t xml:space="preserve">BLANCO TRUJILLO, LUIS MARIO</t>
  </si>
  <si>
    <t xml:space="preserve">PEREZ HERNANDEZ, ARIDAY</t>
  </si>
  <si>
    <t xml:space="preserve">U.D. OROTAVA A</t>
  </si>
  <si>
    <t xml:space="preserve">PEREZ DIAZ, DANYSSEL</t>
  </si>
  <si>
    <t xml:space="preserve">RAMIREZ VASQUEZ, EYDAM ALBERTO</t>
  </si>
  <si>
    <t xml:space="preserve">OSTA MIRANDA, DIEGO</t>
  </si>
  <si>
    <t xml:space="preserve">C.D. JVT. SILENSE A</t>
  </si>
  <si>
    <t xml:space="preserve">NDONG, GUSMANE</t>
  </si>
  <si>
    <t xml:space="preserve">MIRABELLA, CHRISTIAN</t>
  </si>
  <si>
    <t xml:space="preserve">C.D. BUZANADA A</t>
  </si>
  <si>
    <t xml:space="preserve">TOSTE DIAZ, MARCOS</t>
  </si>
  <si>
    <t xml:space="preserve">TORRES MAGDALENA, JOSE</t>
  </si>
  <si>
    <t xml:space="preserve">GONZALEZ TABARES, JOEL ALEXANDER</t>
  </si>
  <si>
    <t xml:space="preserve">E.M.F. SANTIAGO DEL TEIDE A</t>
  </si>
  <si>
    <t xml:space="preserve">OUTERELO PASTOR, ARAY</t>
  </si>
  <si>
    <t xml:space="preserve">TRAWALLE, NOUAH</t>
  </si>
  <si>
    <t xml:space="preserve">C.D. VERDELLADA A</t>
  </si>
  <si>
    <t xml:space="preserve">AMADOR ROSALES, SERGIO</t>
  </si>
  <si>
    <t xml:space="preserve">HERNANDEZ LEON, ALVARO</t>
  </si>
  <si>
    <t xml:space="preserve">HERNANDEZ ROMAGUERA, DAIRON</t>
  </si>
  <si>
    <t xml:space="preserve">LOPEZ RODRIGUEZ, NACOR DAVID</t>
  </si>
  <si>
    <t xml:space="preserve">VELAZQUEZ GONZALEZ, NUHAZET</t>
  </si>
  <si>
    <t xml:space="preserve">DENIZ FERNANDEZ, MIGUEL</t>
  </si>
  <si>
    <t xml:space="preserve">C.D. SAN ANDRES A</t>
  </si>
  <si>
    <t xml:space="preserve">SANCHEZ RODRIGUEZ, ERIK</t>
  </si>
  <si>
    <t xml:space="preserve">TEJERA TORRES, ADEXE</t>
  </si>
  <si>
    <t xml:space="preserve">BENITO GONZALEZ, ANCOR</t>
  </si>
  <si>
    <t xml:space="preserve">DELGADO NABAL, PABLO</t>
  </si>
  <si>
    <t xml:space="preserve">RODRIGUEZ ALVAREZ, DIEGO XAVIER</t>
  </si>
  <si>
    <t xml:space="preserve">HERNANDEZ MORGADO, FRANCISCO GIOVANNI</t>
  </si>
  <si>
    <t xml:space="preserve">CRUZ RODICIO, PABLO</t>
  </si>
  <si>
    <t xml:space="preserve">LUIS HERRERA, EDGAR AMADO</t>
  </si>
  <si>
    <t xml:space="preserve">C.D. ANADONA C.F. A</t>
  </si>
  <si>
    <t xml:space="preserve">EMBREY PORTO, ETHAN</t>
  </si>
  <si>
    <t xml:space="preserve">VIGIL ARRIAGA, JORGE</t>
  </si>
  <si>
    <t xml:space="preserve">MOLINA MOLINA, FABIAN</t>
  </si>
  <si>
    <t xml:space="preserve">FELIPE PADRON, EDUARDO</t>
  </si>
  <si>
    <t xml:space="preserve">U.D. TAHODIO A</t>
  </si>
  <si>
    <t xml:space="preserve">ESTADÍSTICAS POR EQUIPO – Dieciseisavos de Final</t>
  </si>
  <si>
    <t xml:space="preserve">PG</t>
  </si>
  <si>
    <t xml:space="preserve">PE</t>
  </si>
  <si>
    <t xml:space="preserve">PP</t>
  </si>
  <si>
    <t xml:space="preserve">GF</t>
  </si>
  <si>
    <t xml:space="preserve">GC</t>
  </si>
  <si>
    <t xml:space="preserve">DG</t>
  </si>
  <si>
    <t xml:space="preserve">GF/PJ</t>
  </si>
  <si>
    <t xml:space="preserve">GC/PJ</t>
  </si>
  <si>
    <t xml:space="preserve">✅</t>
  </si>
  <si>
    <t xml:space="preserve">❌</t>
  </si>
  <si>
    <t xml:space="preserve">TOTALES</t>
  </si>
  <si>
    <t xml:space="preserve">OCTAVOS DE FINAL – Calendario Completo (Ida y Vuelta)</t>
  </si>
  <si>
    <t xml:space="preserve">Equipo Local (Ida)</t>
  </si>
  <si>
    <t xml:space="preserve">Equipo Visitante (Ida)</t>
  </si>
  <si>
    <t xml:space="preserve">Campo (Ida)</t>
  </si>
  <si>
    <t xml:space="preserve">Fecha Ida</t>
  </si>
  <si>
    <t xml:space="preserve">Fecha Vuelta</t>
  </si>
  <si>
    <t xml:space="preserve">Campo (Vuelta)</t>
  </si>
  <si>
    <t xml:space="preserve">EL MOLINO (CA)</t>
  </si>
  <si>
    <t xml:space="preserve">23/05/2026</t>
  </si>
  <si>
    <t xml:space="preserve">30/05/2026</t>
  </si>
  <si>
    <t xml:space="preserve">PABLOS ABRIL (CA)</t>
  </si>
  <si>
    <t xml:space="preserve">🔜</t>
  </si>
  <si>
    <t xml:space="preserve">JUAN SANTAMARIA (CA)</t>
  </si>
  <si>
    <t xml:space="preserve">24/05/2026</t>
  </si>
  <si>
    <t xml:space="preserve">GARCIA ESCAMEZ (CA)</t>
  </si>
  <si>
    <t xml:space="preserve">31/05/2026</t>
  </si>
  <si>
    <t xml:space="preserve">LA SALUD (CA)</t>
  </si>
  <si>
    <t xml:space="preserve">22/05/2026</t>
  </si>
  <si>
    <t xml:space="preserve">MARIA JIMENEZ (CA)</t>
  </si>
  <si>
    <t xml:space="preserve">JUAN MANUEL MESA (CA)</t>
  </si>
  <si>
    <t xml:space="preserve">29/05/2026</t>
  </si>
  <si>
    <t xml:space="preserve">LA ESPERANZA (CA)</t>
  </si>
  <si>
    <t xml:space="preserve">EL SAUZAL (CA)</t>
  </si>
  <si>
    <t xml:space="preserve">A R O N A (CA)</t>
  </si>
  <si>
    <t xml:space="preserve">VALLESECO (CA)</t>
  </si>
  <si>
    <t xml:space="preserve">LAS ZOCAS (CA)</t>
  </si>
  <si>
    <t xml:space="preserve">A D E J E (CA)</t>
  </si>
  <si>
    <t xml:space="preserve">SAN ISIDRO (CA)</t>
  </si>
  <si>
    <t xml:space="preserve">ÁRBITROS – Dieciseisavos de Final</t>
  </si>
  <si>
    <t xml:space="preserve">Partidos Dirigidos</t>
  </si>
  <si>
    <t xml:space="preserve">Fases</t>
  </si>
  <si>
    <t xml:space="preserve">Goles Totales Partidos</t>
  </si>
  <si>
    <t xml:space="preserve">3</t>
  </si>
  <si>
    <t xml:space="preserve">2</t>
  </si>
  <si>
    <t xml:space="preserve">6</t>
  </si>
  <si>
    <t xml:space="preserve">0</t>
  </si>
  <si>
    <t xml:space="preserve">Ida+Vuelta</t>
  </si>
  <si>
    <t xml:space="preserve">4</t>
  </si>
  <si>
    <t xml:space="preserve">5</t>
  </si>
  <si>
    <t xml:space="preserve">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</si>
</sst>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BDD7EE"/>
      </patternFill>
    </fill>
    <fill>
      <patternFill patternType="solid">
        <fgColor rgb="FFCD7F32"/>
        <bgColor rgb="FFFF8080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2E75B6"/>
      <rgbColor rgb="FF33CCCC"/>
      <rgbColor rgb="FF99CC00"/>
      <rgbColor rgb="FFFFD700"/>
      <rgbColor rgb="FFFF9900"/>
      <rgbColor rgb="FFCD7F32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5" min="3" style="1" width="4"/>
    <col collapsed="false" customWidth="true" hidden="false" outlineLevel="0" max="6" min="6" style="1" width="2"/>
    <col collapsed="false" customWidth="true" hidden="false" outlineLevel="0" max="7" min="7" style="1" width="28"/>
    <col collapsed="false" customWidth="true" hidden="false" outlineLevel="0" max="9" min="8" style="1" width="14"/>
    <col collapsed="false" customWidth="true" hidden="false" outlineLevel="0" max="10" min="10" style="1" width="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9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8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30" hidden="false" customHeight="true" outlineLevel="0" collapsed="false">
      <c r="A6" s="5" t="s">
        <v>3</v>
      </c>
      <c r="B6" s="5"/>
      <c r="C6" s="5" t="s">
        <v>4</v>
      </c>
      <c r="D6" s="5"/>
      <c r="E6" s="5" t="s">
        <v>5</v>
      </c>
      <c r="F6" s="5"/>
      <c r="G6" s="5" t="s">
        <v>6</v>
      </c>
      <c r="H6" s="5"/>
      <c r="I6" s="5" t="s">
        <v>7</v>
      </c>
      <c r="J6" s="5"/>
    </row>
    <row r="7" customFormat="false" ht="34.5" hidden="false" customHeight="true" outlineLevel="0" collapsed="false">
      <c r="A7" s="6" t="n">
        <v>26</v>
      </c>
      <c r="B7" s="6"/>
      <c r="C7" s="6" t="n">
        <v>2</v>
      </c>
      <c r="D7" s="6"/>
      <c r="E7" s="6" t="n">
        <v>20</v>
      </c>
      <c r="F7" s="6"/>
      <c r="G7" s="6" t="n">
        <v>73</v>
      </c>
      <c r="H7" s="6"/>
      <c r="I7" s="7" t="n">
        <v>3.65</v>
      </c>
      <c r="J7" s="7"/>
    </row>
    <row r="10" customFormat="false" ht="15" hidden="false" customHeight="true" outlineLevel="0" collapsed="false">
      <c r="A10" s="4" t="s">
        <v>8</v>
      </c>
      <c r="B10" s="4"/>
      <c r="C10" s="4"/>
      <c r="D10" s="4"/>
      <c r="E10" s="4"/>
      <c r="G10" s="8" t="s">
        <v>9</v>
      </c>
      <c r="H10" s="8"/>
      <c r="I10" s="8"/>
      <c r="J10" s="8"/>
    </row>
    <row r="11" customFormat="false" ht="15.75" hidden="false" customHeight="true" outlineLevel="0" collapsed="false">
      <c r="A11" s="9" t="n">
        <v>1</v>
      </c>
      <c r="B11" s="10" t="s">
        <v>10</v>
      </c>
      <c r="C11" s="10"/>
      <c r="D11" s="10"/>
      <c r="E11" s="10"/>
      <c r="G11" s="11" t="s">
        <v>11</v>
      </c>
      <c r="H11" s="11" t="s">
        <v>12</v>
      </c>
      <c r="I11" s="11" t="s">
        <v>13</v>
      </c>
      <c r="J11" s="12"/>
    </row>
    <row r="12" customFormat="false" ht="15" hidden="false" customHeight="true" outlineLevel="0" collapsed="false">
      <c r="A12" s="13" t="n">
        <v>2</v>
      </c>
      <c r="B12" s="14" t="s">
        <v>14</v>
      </c>
      <c r="C12" s="14"/>
      <c r="D12" s="14"/>
      <c r="E12" s="14"/>
      <c r="G12" s="15" t="s">
        <v>15</v>
      </c>
      <c r="H12" s="16" t="s">
        <v>16</v>
      </c>
      <c r="I12" s="16" t="s">
        <v>17</v>
      </c>
      <c r="J12" s="12"/>
    </row>
    <row r="13" customFormat="false" ht="15" hidden="false" customHeight="true" outlineLevel="0" collapsed="false">
      <c r="A13" s="9" t="n">
        <v>3</v>
      </c>
      <c r="B13" s="10" t="s">
        <v>18</v>
      </c>
      <c r="C13" s="10"/>
      <c r="D13" s="10"/>
      <c r="E13" s="10"/>
      <c r="G13" s="15" t="s">
        <v>19</v>
      </c>
      <c r="H13" s="16" t="s">
        <v>20</v>
      </c>
      <c r="I13" s="16" t="s">
        <v>17</v>
      </c>
      <c r="J13" s="12"/>
    </row>
    <row r="14" customFormat="false" ht="15" hidden="false" customHeight="true" outlineLevel="0" collapsed="false">
      <c r="A14" s="13" t="n">
        <v>4</v>
      </c>
      <c r="B14" s="14" t="s">
        <v>21</v>
      </c>
      <c r="C14" s="14"/>
      <c r="D14" s="14"/>
      <c r="E14" s="14"/>
      <c r="G14" s="17" t="s">
        <v>22</v>
      </c>
      <c r="H14" s="18" t="s">
        <v>23</v>
      </c>
      <c r="I14" s="18" t="s">
        <v>24</v>
      </c>
      <c r="J14" s="12"/>
    </row>
    <row r="15" customFormat="false" ht="15" hidden="false" customHeight="true" outlineLevel="0" collapsed="false">
      <c r="A15" s="9" t="n">
        <v>5</v>
      </c>
      <c r="B15" s="10" t="s">
        <v>25</v>
      </c>
      <c r="C15" s="10"/>
      <c r="D15" s="10"/>
      <c r="E15" s="10"/>
      <c r="G15" s="19" t="s">
        <v>26</v>
      </c>
      <c r="H15" s="20" t="s">
        <v>27</v>
      </c>
      <c r="I15" s="20" t="s">
        <v>28</v>
      </c>
      <c r="J15" s="12"/>
    </row>
    <row r="16" customFormat="false" ht="15" hidden="false" customHeight="true" outlineLevel="0" collapsed="false">
      <c r="A16" s="13" t="n">
        <v>6</v>
      </c>
      <c r="B16" s="14" t="s">
        <v>29</v>
      </c>
      <c r="C16" s="14"/>
      <c r="D16" s="14"/>
      <c r="E16" s="14"/>
      <c r="G16" s="19" t="s">
        <v>30</v>
      </c>
      <c r="H16" s="20" t="s">
        <v>31</v>
      </c>
      <c r="I16" s="20" t="s">
        <v>28</v>
      </c>
      <c r="J16" s="12"/>
    </row>
    <row r="17" customFormat="false" ht="15" hidden="false" customHeight="true" outlineLevel="0" collapsed="false">
      <c r="A17" s="9" t="n">
        <v>7</v>
      </c>
      <c r="B17" s="10" t="s">
        <v>32</v>
      </c>
      <c r="C17" s="10"/>
      <c r="D17" s="10"/>
      <c r="E17" s="10"/>
      <c r="G17" s="19" t="s">
        <v>33</v>
      </c>
      <c r="H17" s="20" t="s">
        <v>34</v>
      </c>
      <c r="I17" s="20" t="s">
        <v>28</v>
      </c>
      <c r="J17" s="12"/>
    </row>
    <row r="18" customFormat="false" ht="15" hidden="false" customHeight="true" outlineLevel="0" collapsed="false">
      <c r="A18" s="13" t="n">
        <v>8</v>
      </c>
      <c r="B18" s="14" t="s">
        <v>35</v>
      </c>
      <c r="C18" s="14"/>
      <c r="D18" s="14"/>
      <c r="E18" s="14"/>
      <c r="G18" s="19" t="s">
        <v>36</v>
      </c>
      <c r="H18" s="20" t="s">
        <v>37</v>
      </c>
      <c r="I18" s="20" t="s">
        <v>28</v>
      </c>
      <c r="J18" s="12"/>
    </row>
    <row r="19" customFormat="false" ht="15" hidden="false" customHeight="true" outlineLevel="0" collapsed="false">
      <c r="A19" s="9" t="n">
        <v>9</v>
      </c>
      <c r="B19" s="10" t="s">
        <v>38</v>
      </c>
      <c r="C19" s="10"/>
      <c r="D19" s="10"/>
      <c r="E19" s="10"/>
    </row>
    <row r="20" customFormat="false" ht="15" hidden="false" customHeight="true" outlineLevel="0" collapsed="false">
      <c r="A20" s="13" t="n">
        <v>10</v>
      </c>
      <c r="B20" s="14" t="s">
        <v>39</v>
      </c>
      <c r="C20" s="14"/>
      <c r="D20" s="14"/>
      <c r="E20" s="14"/>
    </row>
    <row r="21" customFormat="false" ht="15" hidden="false" customHeight="true" outlineLevel="0" collapsed="false">
      <c r="A21" s="9" t="n">
        <v>11</v>
      </c>
      <c r="B21" s="10" t="s">
        <v>40</v>
      </c>
      <c r="C21" s="10"/>
      <c r="D21" s="10"/>
      <c r="E21" s="10"/>
    </row>
    <row r="22" customFormat="false" ht="15" hidden="false" customHeight="true" outlineLevel="0" collapsed="false">
      <c r="A22" s="13" t="n">
        <v>12</v>
      </c>
      <c r="B22" s="14" t="s">
        <v>41</v>
      </c>
      <c r="C22" s="14"/>
      <c r="D22" s="14"/>
      <c r="E22" s="14"/>
    </row>
    <row r="23" customFormat="false" ht="15" hidden="false" customHeight="true" outlineLevel="0" collapsed="false">
      <c r="A23" s="9" t="n">
        <v>13</v>
      </c>
      <c r="B23" s="10" t="s">
        <v>42</v>
      </c>
      <c r="C23" s="10"/>
      <c r="D23" s="10"/>
      <c r="E23" s="10"/>
    </row>
    <row r="24" customFormat="false" ht="15" hidden="false" customHeight="true" outlineLevel="0" collapsed="false">
      <c r="A24" s="13" t="n">
        <v>14</v>
      </c>
      <c r="B24" s="14" t="s">
        <v>43</v>
      </c>
      <c r="C24" s="14"/>
      <c r="D24" s="14"/>
      <c r="E24" s="14"/>
    </row>
    <row r="25" customFormat="false" ht="15" hidden="false" customHeight="true" outlineLevel="0" collapsed="false">
      <c r="A25" s="9" t="n">
        <v>15</v>
      </c>
      <c r="B25" s="10" t="s">
        <v>44</v>
      </c>
      <c r="C25" s="10"/>
      <c r="D25" s="10"/>
      <c r="E25" s="10"/>
    </row>
    <row r="26" customFormat="false" ht="15" hidden="false" customHeight="true" outlineLevel="0" collapsed="false">
      <c r="A26" s="13" t="n">
        <v>16</v>
      </c>
      <c r="B26" s="14" t="s">
        <v>45</v>
      </c>
      <c r="C26" s="14"/>
      <c r="D26" s="14"/>
      <c r="E26" s="14"/>
    </row>
    <row r="27" customFormat="false" ht="15" hidden="false" customHeight="true" outlineLevel="0" collapsed="false">
      <c r="A27" s="9" t="n">
        <v>17</v>
      </c>
      <c r="B27" s="10" t="s">
        <v>46</v>
      </c>
      <c r="C27" s="10"/>
      <c r="D27" s="10"/>
      <c r="E27" s="10"/>
    </row>
    <row r="28" customFormat="false" ht="15" hidden="false" customHeight="true" outlineLevel="0" collapsed="false">
      <c r="A28" s="13" t="n">
        <v>18</v>
      </c>
      <c r="B28" s="14" t="s">
        <v>47</v>
      </c>
      <c r="C28" s="14"/>
      <c r="D28" s="14"/>
      <c r="E28" s="14"/>
    </row>
    <row r="29" customFormat="false" ht="15" hidden="false" customHeight="true" outlineLevel="0" collapsed="false">
      <c r="A29" s="9" t="n">
        <v>19</v>
      </c>
      <c r="B29" s="10" t="s">
        <v>48</v>
      </c>
      <c r="C29" s="10"/>
      <c r="D29" s="10"/>
      <c r="E29" s="10"/>
    </row>
    <row r="30" customFormat="false" ht="15" hidden="false" customHeight="true" outlineLevel="0" collapsed="false">
      <c r="A30" s="13" t="n">
        <v>20</v>
      </c>
      <c r="B30" s="14" t="s">
        <v>49</v>
      </c>
      <c r="C30" s="14"/>
      <c r="D30" s="14"/>
      <c r="E30" s="14"/>
    </row>
    <row r="31" customFormat="false" ht="15" hidden="false" customHeight="true" outlineLevel="0" collapsed="false">
      <c r="A31" s="9" t="n">
        <v>21</v>
      </c>
      <c r="B31" s="10" t="s">
        <v>50</v>
      </c>
      <c r="C31" s="10"/>
      <c r="D31" s="10"/>
      <c r="E31" s="10"/>
    </row>
    <row r="32" customFormat="false" ht="15" hidden="false" customHeight="true" outlineLevel="0" collapsed="false">
      <c r="A32" s="13" t="n">
        <v>22</v>
      </c>
      <c r="B32" s="14" t="s">
        <v>51</v>
      </c>
      <c r="C32" s="14"/>
      <c r="D32" s="14"/>
      <c r="E32" s="14"/>
    </row>
    <row r="33" customFormat="false" ht="15" hidden="false" customHeight="true" outlineLevel="0" collapsed="false">
      <c r="A33" s="9" t="n">
        <v>23</v>
      </c>
      <c r="B33" s="10" t="s">
        <v>52</v>
      </c>
      <c r="C33" s="10"/>
      <c r="D33" s="10"/>
      <c r="E33" s="10"/>
    </row>
    <row r="34" customFormat="false" ht="15" hidden="false" customHeight="true" outlineLevel="0" collapsed="false">
      <c r="A34" s="13" t="n">
        <v>24</v>
      </c>
      <c r="B34" s="14" t="s">
        <v>53</v>
      </c>
      <c r="C34" s="14"/>
      <c r="D34" s="14"/>
      <c r="E34" s="14"/>
    </row>
    <row r="35" customFormat="false" ht="15" hidden="false" customHeight="true" outlineLevel="0" collapsed="false">
      <c r="A35" s="9" t="n">
        <v>25</v>
      </c>
      <c r="B35" s="10" t="s">
        <v>54</v>
      </c>
      <c r="C35" s="10"/>
      <c r="D35" s="10"/>
      <c r="E35" s="10"/>
    </row>
    <row r="36" customFormat="false" ht="15" hidden="false" customHeight="true" outlineLevel="0" collapsed="false">
      <c r="A36" s="13" t="n">
        <v>26</v>
      </c>
      <c r="B36" s="14" t="s">
        <v>55</v>
      </c>
      <c r="C36" s="14"/>
      <c r="D36" s="14"/>
      <c r="E36" s="14"/>
    </row>
  </sheetData>
  <mergeCells count="41">
    <mergeCell ref="A1:J2"/>
    <mergeCell ref="A3:J3"/>
    <mergeCell ref="A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10:E10"/>
    <mergeCell ref="G10:J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30"/>
    <col collapsed="false" customWidth="true" hidden="false" outlineLevel="0" max="4" min="4" style="1" width="8"/>
    <col collapsed="false" customWidth="true" hidden="false" outlineLevel="0" max="5" min="5" style="1" width="3"/>
    <col collapsed="false" customWidth="true" hidden="false" outlineLevel="0" max="6" min="6" style="1" width="8"/>
    <col collapsed="false" customWidth="true" hidden="false" outlineLevel="0" max="7" min="7" style="1" width="30"/>
    <col collapsed="false" customWidth="true" hidden="false" outlineLevel="0" max="8" min="8" style="1" width="11"/>
    <col collapsed="false" customWidth="true" hidden="false" outlineLevel="0" max="9" min="9" style="1" width="6"/>
    <col collapsed="false" customWidth="true" hidden="false" outlineLevel="0" max="10" min="10" style="1" width="20"/>
    <col collapsed="false" customWidth="true" hidden="false" outlineLevel="0" max="11" min="11" style="1" width="7"/>
    <col collapsed="false" customWidth="true" hidden="false" outlineLevel="0" max="12" min="12" style="1" width="28"/>
  </cols>
  <sheetData>
    <row r="1" customFormat="false" ht="27.75" hidden="false" customHeight="true" outlineLevel="0" collapsed="false">
      <c r="A1" s="21" t="s">
        <v>56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18" hidden="false" customHeight="true" outlineLevel="0" collapsed="false">
      <c r="A2" s="22" t="s">
        <v>11</v>
      </c>
      <c r="B2" s="22" t="s">
        <v>57</v>
      </c>
      <c r="C2" s="22" t="s">
        <v>58</v>
      </c>
      <c r="D2" s="22" t="s">
        <v>59</v>
      </c>
      <c r="E2" s="22"/>
      <c r="F2" s="22" t="s">
        <v>60</v>
      </c>
      <c r="G2" s="22" t="s">
        <v>61</v>
      </c>
      <c r="H2" s="22" t="s">
        <v>62</v>
      </c>
      <c r="I2" s="22" t="s">
        <v>63</v>
      </c>
      <c r="J2" s="22" t="s">
        <v>64</v>
      </c>
      <c r="K2" s="22" t="s">
        <v>65</v>
      </c>
      <c r="L2" s="22" t="s">
        <v>66</v>
      </c>
    </row>
    <row r="3" customFormat="false" ht="15.75" hidden="false" customHeight="true" outlineLevel="0" collapsed="false">
      <c r="A3" s="23" t="s">
        <v>67</v>
      </c>
      <c r="B3" s="18" t="n">
        <v>1</v>
      </c>
      <c r="C3" s="17" t="s">
        <v>18</v>
      </c>
      <c r="D3" s="24" t="n">
        <v>1</v>
      </c>
      <c r="E3" s="18" t="s">
        <v>68</v>
      </c>
      <c r="F3" s="24" t="n">
        <v>2</v>
      </c>
      <c r="G3" s="17" t="s">
        <v>49</v>
      </c>
      <c r="H3" s="18" t="s">
        <v>69</v>
      </c>
      <c r="I3" s="18" t="s">
        <v>70</v>
      </c>
      <c r="J3" s="17" t="s">
        <v>71</v>
      </c>
      <c r="K3" s="18" t="s">
        <v>72</v>
      </c>
      <c r="L3" s="17" t="s">
        <v>73</v>
      </c>
    </row>
    <row r="4" customFormat="false" ht="15.75" hidden="false" customHeight="true" outlineLevel="0" collapsed="false">
      <c r="A4" s="23" t="s">
        <v>67</v>
      </c>
      <c r="B4" s="20" t="n">
        <v>2</v>
      </c>
      <c r="C4" s="19" t="s">
        <v>42</v>
      </c>
      <c r="D4" s="25" t="n">
        <v>3</v>
      </c>
      <c r="E4" s="20" t="s">
        <v>68</v>
      </c>
      <c r="F4" s="25" t="n">
        <v>0</v>
      </c>
      <c r="G4" s="19" t="s">
        <v>55</v>
      </c>
      <c r="H4" s="20" t="s">
        <v>74</v>
      </c>
      <c r="I4" s="20" t="s">
        <v>75</v>
      </c>
      <c r="J4" s="19" t="s">
        <v>76</v>
      </c>
      <c r="K4" s="20" t="s">
        <v>72</v>
      </c>
      <c r="L4" s="19" t="s">
        <v>77</v>
      </c>
    </row>
    <row r="5" customFormat="false" ht="15.75" hidden="false" customHeight="true" outlineLevel="0" collapsed="false">
      <c r="A5" s="23" t="s">
        <v>67</v>
      </c>
      <c r="B5" s="18" t="n">
        <v>3</v>
      </c>
      <c r="C5" s="17" t="s">
        <v>44</v>
      </c>
      <c r="D5" s="24" t="n">
        <v>1</v>
      </c>
      <c r="E5" s="18" t="s">
        <v>68</v>
      </c>
      <c r="F5" s="24" t="n">
        <v>1</v>
      </c>
      <c r="G5" s="17" t="s">
        <v>40</v>
      </c>
      <c r="H5" s="18" t="s">
        <v>74</v>
      </c>
      <c r="I5" s="18" t="s">
        <v>78</v>
      </c>
      <c r="J5" s="17" t="s">
        <v>79</v>
      </c>
      <c r="K5" s="18" t="s">
        <v>72</v>
      </c>
      <c r="L5" s="17" t="s">
        <v>80</v>
      </c>
    </row>
    <row r="6" customFormat="false" ht="15.75" hidden="false" customHeight="true" outlineLevel="0" collapsed="false">
      <c r="A6" s="23" t="s">
        <v>67</v>
      </c>
      <c r="B6" s="20" t="n">
        <v>4</v>
      </c>
      <c r="C6" s="19" t="s">
        <v>43</v>
      </c>
      <c r="D6" s="25" t="n">
        <v>3</v>
      </c>
      <c r="E6" s="20" t="s">
        <v>68</v>
      </c>
      <c r="F6" s="25" t="n">
        <v>3</v>
      </c>
      <c r="G6" s="19" t="s">
        <v>50</v>
      </c>
      <c r="H6" s="20" t="s">
        <v>81</v>
      </c>
      <c r="I6" s="20" t="s">
        <v>82</v>
      </c>
      <c r="J6" s="19" t="s">
        <v>83</v>
      </c>
      <c r="K6" s="20" t="s">
        <v>72</v>
      </c>
      <c r="L6" s="19" t="s">
        <v>84</v>
      </c>
    </row>
    <row r="7" customFormat="false" ht="15.75" hidden="false" customHeight="true" outlineLevel="0" collapsed="false">
      <c r="A7" s="23" t="s">
        <v>67</v>
      </c>
      <c r="B7" s="18" t="n">
        <v>5</v>
      </c>
      <c r="C7" s="17" t="s">
        <v>14</v>
      </c>
      <c r="D7" s="24" t="n">
        <v>0</v>
      </c>
      <c r="E7" s="18" t="s">
        <v>68</v>
      </c>
      <c r="F7" s="24" t="n">
        <v>6</v>
      </c>
      <c r="G7" s="17" t="s">
        <v>48</v>
      </c>
      <c r="H7" s="18" t="s">
        <v>81</v>
      </c>
      <c r="I7" s="18" t="s">
        <v>82</v>
      </c>
      <c r="J7" s="17" t="s">
        <v>85</v>
      </c>
      <c r="K7" s="18" t="s">
        <v>72</v>
      </c>
      <c r="L7" s="17" t="s">
        <v>86</v>
      </c>
    </row>
    <row r="8" customFormat="false" ht="15.75" hidden="false" customHeight="true" outlineLevel="0" collapsed="false">
      <c r="A8" s="23" t="s">
        <v>67</v>
      </c>
      <c r="B8" s="20" t="n">
        <v>6</v>
      </c>
      <c r="C8" s="19" t="s">
        <v>54</v>
      </c>
      <c r="D8" s="25" t="n">
        <v>0</v>
      </c>
      <c r="E8" s="20" t="s">
        <v>68</v>
      </c>
      <c r="F8" s="25" t="n">
        <v>0</v>
      </c>
      <c r="G8" s="19" t="s">
        <v>32</v>
      </c>
      <c r="H8" s="20" t="s">
        <v>81</v>
      </c>
      <c r="I8" s="20" t="s">
        <v>87</v>
      </c>
      <c r="J8" s="19" t="s">
        <v>88</v>
      </c>
      <c r="K8" s="20" t="s">
        <v>72</v>
      </c>
      <c r="L8" s="19" t="s">
        <v>89</v>
      </c>
    </row>
    <row r="9" customFormat="false" ht="15.75" hidden="false" customHeight="true" outlineLevel="0" collapsed="false">
      <c r="A9" s="23" t="s">
        <v>67</v>
      </c>
      <c r="B9" s="18" t="n">
        <v>7</v>
      </c>
      <c r="C9" s="17" t="s">
        <v>38</v>
      </c>
      <c r="D9" s="24" t="n">
        <v>1</v>
      </c>
      <c r="E9" s="18" t="s">
        <v>68</v>
      </c>
      <c r="F9" s="24" t="n">
        <v>1</v>
      </c>
      <c r="G9" s="17" t="s">
        <v>29</v>
      </c>
      <c r="H9" s="18" t="s">
        <v>81</v>
      </c>
      <c r="I9" s="18" t="s">
        <v>87</v>
      </c>
      <c r="J9" s="17" t="s">
        <v>90</v>
      </c>
      <c r="K9" s="18" t="s">
        <v>72</v>
      </c>
      <c r="L9" s="17" t="s">
        <v>91</v>
      </c>
    </row>
    <row r="10" customFormat="false" ht="15.75" hidden="false" customHeight="true" outlineLevel="0" collapsed="false">
      <c r="A10" s="23" t="s">
        <v>67</v>
      </c>
      <c r="B10" s="20" t="n">
        <v>8</v>
      </c>
      <c r="C10" s="19" t="s">
        <v>51</v>
      </c>
      <c r="D10" s="25" t="n">
        <v>0</v>
      </c>
      <c r="E10" s="20" t="s">
        <v>68</v>
      </c>
      <c r="F10" s="25" t="n">
        <v>0</v>
      </c>
      <c r="G10" s="19" t="s">
        <v>45</v>
      </c>
      <c r="H10" s="20" t="s">
        <v>81</v>
      </c>
      <c r="I10" s="20" t="s">
        <v>87</v>
      </c>
      <c r="J10" s="19" t="s">
        <v>92</v>
      </c>
      <c r="K10" s="20" t="s">
        <v>72</v>
      </c>
      <c r="L10" s="19" t="s">
        <v>93</v>
      </c>
    </row>
    <row r="11" customFormat="false" ht="15.75" hidden="false" customHeight="true" outlineLevel="0" collapsed="false">
      <c r="A11" s="23" t="s">
        <v>67</v>
      </c>
      <c r="B11" s="18" t="n">
        <v>9</v>
      </c>
      <c r="C11" s="17" t="s">
        <v>21</v>
      </c>
      <c r="D11" s="24" t="n">
        <v>0</v>
      </c>
      <c r="E11" s="18" t="s">
        <v>68</v>
      </c>
      <c r="F11" s="24" t="n">
        <v>0</v>
      </c>
      <c r="G11" s="17" t="s">
        <v>53</v>
      </c>
      <c r="H11" s="18" t="s">
        <v>81</v>
      </c>
      <c r="I11" s="18" t="s">
        <v>94</v>
      </c>
      <c r="J11" s="17" t="s">
        <v>95</v>
      </c>
      <c r="K11" s="18" t="s">
        <v>72</v>
      </c>
      <c r="L11" s="17" t="s">
        <v>96</v>
      </c>
    </row>
    <row r="12" customFormat="false" ht="15.75" hidden="false" customHeight="true" outlineLevel="0" collapsed="false">
      <c r="A12" s="23" t="s">
        <v>67</v>
      </c>
      <c r="B12" s="20" t="n">
        <v>10</v>
      </c>
      <c r="C12" s="19" t="s">
        <v>46</v>
      </c>
      <c r="D12" s="25" t="n">
        <v>1</v>
      </c>
      <c r="E12" s="20" t="s">
        <v>68</v>
      </c>
      <c r="F12" s="25" t="n">
        <v>1</v>
      </c>
      <c r="G12" s="19" t="s">
        <v>25</v>
      </c>
      <c r="H12" s="20" t="s">
        <v>97</v>
      </c>
      <c r="I12" s="20" t="s">
        <v>98</v>
      </c>
      <c r="J12" s="19" t="s">
        <v>99</v>
      </c>
      <c r="K12" s="20" t="s">
        <v>72</v>
      </c>
      <c r="L12" s="19" t="s">
        <v>100</v>
      </c>
    </row>
    <row r="13" customFormat="false" ht="15.75" hidden="false" customHeight="true" outlineLevel="0" collapsed="false">
      <c r="A13" s="11" t="s">
        <v>101</v>
      </c>
      <c r="B13" s="18" t="n">
        <v>1</v>
      </c>
      <c r="C13" s="17" t="s">
        <v>40</v>
      </c>
      <c r="D13" s="24" t="n">
        <v>2</v>
      </c>
      <c r="E13" s="18" t="s">
        <v>68</v>
      </c>
      <c r="F13" s="24" t="n">
        <v>0</v>
      </c>
      <c r="G13" s="17" t="s">
        <v>44</v>
      </c>
      <c r="H13" s="18" t="s">
        <v>102</v>
      </c>
      <c r="I13" s="18" t="s">
        <v>103</v>
      </c>
      <c r="J13" s="17" t="s">
        <v>104</v>
      </c>
      <c r="K13" s="18" t="s">
        <v>72</v>
      </c>
      <c r="L13" s="17" t="s">
        <v>105</v>
      </c>
    </row>
    <row r="14" customFormat="false" ht="15.75" hidden="false" customHeight="true" outlineLevel="0" collapsed="false">
      <c r="A14" s="11" t="s">
        <v>101</v>
      </c>
      <c r="B14" s="20" t="n">
        <v>2</v>
      </c>
      <c r="C14" s="19" t="s">
        <v>49</v>
      </c>
      <c r="D14" s="25" t="n">
        <v>3</v>
      </c>
      <c r="E14" s="20" t="s">
        <v>68</v>
      </c>
      <c r="F14" s="25" t="n">
        <v>2</v>
      </c>
      <c r="G14" s="19" t="s">
        <v>18</v>
      </c>
      <c r="H14" s="20" t="s">
        <v>102</v>
      </c>
      <c r="I14" s="20" t="s">
        <v>103</v>
      </c>
      <c r="J14" s="19" t="s">
        <v>106</v>
      </c>
      <c r="K14" s="20" t="s">
        <v>72</v>
      </c>
      <c r="L14" s="19" t="s">
        <v>107</v>
      </c>
    </row>
    <row r="15" customFormat="false" ht="15.75" hidden="false" customHeight="true" outlineLevel="0" collapsed="false">
      <c r="A15" s="11" t="s">
        <v>101</v>
      </c>
      <c r="B15" s="18" t="n">
        <v>3</v>
      </c>
      <c r="C15" s="17" t="s">
        <v>29</v>
      </c>
      <c r="D15" s="24" t="n">
        <v>3</v>
      </c>
      <c r="E15" s="18" t="s">
        <v>68</v>
      </c>
      <c r="F15" s="24" t="n">
        <v>2</v>
      </c>
      <c r="G15" s="17" t="s">
        <v>38</v>
      </c>
      <c r="H15" s="18" t="s">
        <v>102</v>
      </c>
      <c r="I15" s="18" t="s">
        <v>75</v>
      </c>
      <c r="J15" s="17" t="s">
        <v>108</v>
      </c>
      <c r="K15" s="18" t="s">
        <v>72</v>
      </c>
      <c r="L15" s="17" t="s">
        <v>109</v>
      </c>
    </row>
    <row r="16" customFormat="false" ht="15.75" hidden="false" customHeight="true" outlineLevel="0" collapsed="false">
      <c r="A16" s="11" t="s">
        <v>101</v>
      </c>
      <c r="B16" s="20" t="n">
        <v>4</v>
      </c>
      <c r="C16" s="19" t="s">
        <v>55</v>
      </c>
      <c r="D16" s="25" t="n">
        <v>1</v>
      </c>
      <c r="E16" s="20" t="s">
        <v>68</v>
      </c>
      <c r="F16" s="25" t="n">
        <v>5</v>
      </c>
      <c r="G16" s="19" t="s">
        <v>42</v>
      </c>
      <c r="H16" s="20" t="s">
        <v>102</v>
      </c>
      <c r="I16" s="20" t="s">
        <v>75</v>
      </c>
      <c r="J16" s="19" t="s">
        <v>110</v>
      </c>
      <c r="K16" s="20" t="s">
        <v>72</v>
      </c>
      <c r="L16" s="19" t="s">
        <v>111</v>
      </c>
    </row>
    <row r="17" customFormat="false" ht="15.75" hidden="false" customHeight="true" outlineLevel="0" collapsed="false">
      <c r="A17" s="11" t="s">
        <v>101</v>
      </c>
      <c r="B17" s="18" t="n">
        <v>5</v>
      </c>
      <c r="C17" s="17" t="s">
        <v>25</v>
      </c>
      <c r="D17" s="24" t="n">
        <v>0</v>
      </c>
      <c r="E17" s="18" t="s">
        <v>68</v>
      </c>
      <c r="F17" s="24" t="n">
        <v>3</v>
      </c>
      <c r="G17" s="17" t="s">
        <v>46</v>
      </c>
      <c r="H17" s="18" t="s">
        <v>102</v>
      </c>
      <c r="I17" s="18" t="s">
        <v>112</v>
      </c>
      <c r="J17" s="17" t="s">
        <v>113</v>
      </c>
      <c r="K17" s="18" t="s">
        <v>72</v>
      </c>
      <c r="L17" s="17" t="s">
        <v>93</v>
      </c>
    </row>
    <row r="18" customFormat="false" ht="15.75" hidden="false" customHeight="true" outlineLevel="0" collapsed="false">
      <c r="A18" s="11" t="s">
        <v>101</v>
      </c>
      <c r="B18" s="20" t="n">
        <v>6</v>
      </c>
      <c r="C18" s="19" t="s">
        <v>48</v>
      </c>
      <c r="D18" s="25" t="n">
        <v>7</v>
      </c>
      <c r="E18" s="20" t="s">
        <v>68</v>
      </c>
      <c r="F18" s="25" t="n">
        <v>2</v>
      </c>
      <c r="G18" s="19" t="s">
        <v>14</v>
      </c>
      <c r="H18" s="20" t="s">
        <v>102</v>
      </c>
      <c r="I18" s="20" t="s">
        <v>114</v>
      </c>
      <c r="J18" s="19" t="s">
        <v>115</v>
      </c>
      <c r="K18" s="20" t="s">
        <v>72</v>
      </c>
      <c r="L18" s="19" t="s">
        <v>116</v>
      </c>
    </row>
    <row r="19" customFormat="false" ht="15.75" hidden="false" customHeight="true" outlineLevel="0" collapsed="false">
      <c r="A19" s="11" t="s">
        <v>101</v>
      </c>
      <c r="B19" s="18" t="n">
        <v>7</v>
      </c>
      <c r="C19" s="17" t="s">
        <v>53</v>
      </c>
      <c r="D19" s="24" t="n">
        <v>1</v>
      </c>
      <c r="E19" s="18" t="s">
        <v>68</v>
      </c>
      <c r="F19" s="24" t="n">
        <v>3</v>
      </c>
      <c r="G19" s="17" t="s">
        <v>21</v>
      </c>
      <c r="H19" s="18" t="s">
        <v>117</v>
      </c>
      <c r="I19" s="18" t="s">
        <v>103</v>
      </c>
      <c r="J19" s="17" t="s">
        <v>118</v>
      </c>
      <c r="K19" s="18" t="s">
        <v>119</v>
      </c>
      <c r="L19" s="17" t="s">
        <v>120</v>
      </c>
    </row>
    <row r="20" customFormat="false" ht="15.75" hidden="false" customHeight="true" outlineLevel="0" collapsed="false">
      <c r="A20" s="11" t="s">
        <v>101</v>
      </c>
      <c r="B20" s="20" t="n">
        <v>8</v>
      </c>
      <c r="C20" s="19" t="s">
        <v>45</v>
      </c>
      <c r="D20" s="25" t="n">
        <v>1</v>
      </c>
      <c r="E20" s="20" t="s">
        <v>68</v>
      </c>
      <c r="F20" s="25" t="n">
        <v>5</v>
      </c>
      <c r="G20" s="19" t="s">
        <v>51</v>
      </c>
      <c r="H20" s="20" t="s">
        <v>121</v>
      </c>
      <c r="I20" s="20" t="s">
        <v>122</v>
      </c>
      <c r="J20" s="19" t="s">
        <v>123</v>
      </c>
      <c r="K20" s="20" t="s">
        <v>72</v>
      </c>
      <c r="L20" s="19" t="s">
        <v>124</v>
      </c>
    </row>
    <row r="21" customFormat="false" ht="15.75" hidden="false" customHeight="true" outlineLevel="0" collapsed="false">
      <c r="A21" s="11" t="s">
        <v>101</v>
      </c>
      <c r="B21" s="18" t="n">
        <v>9</v>
      </c>
      <c r="C21" s="17" t="s">
        <v>32</v>
      </c>
      <c r="D21" s="24" t="n">
        <v>1</v>
      </c>
      <c r="E21" s="18" t="s">
        <v>68</v>
      </c>
      <c r="F21" s="24" t="n">
        <v>2</v>
      </c>
      <c r="G21" s="17" t="s">
        <v>54</v>
      </c>
      <c r="H21" s="18" t="s">
        <v>121</v>
      </c>
      <c r="I21" s="18" t="s">
        <v>87</v>
      </c>
      <c r="J21" s="17" t="s">
        <v>125</v>
      </c>
      <c r="K21" s="18" t="s">
        <v>72</v>
      </c>
      <c r="L21" s="17" t="s">
        <v>126</v>
      </c>
    </row>
    <row r="22" customFormat="false" ht="15.75" hidden="false" customHeight="true" outlineLevel="0" collapsed="false">
      <c r="A22" s="11" t="s">
        <v>101</v>
      </c>
      <c r="B22" s="20" t="n">
        <v>10</v>
      </c>
      <c r="C22" s="19" t="s">
        <v>50</v>
      </c>
      <c r="D22" s="25" t="n">
        <v>3</v>
      </c>
      <c r="E22" s="20" t="s">
        <v>68</v>
      </c>
      <c r="F22" s="25" t="n">
        <v>2</v>
      </c>
      <c r="G22" s="19" t="s">
        <v>43</v>
      </c>
      <c r="H22" s="20" t="s">
        <v>121</v>
      </c>
      <c r="I22" s="20" t="s">
        <v>127</v>
      </c>
      <c r="J22" s="19" t="s">
        <v>128</v>
      </c>
      <c r="K22" s="20" t="s">
        <v>72</v>
      </c>
      <c r="L22" s="19" t="s">
        <v>129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6" min="5" style="1" width="8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10" min="9" style="1" width="32"/>
  </cols>
  <sheetData>
    <row r="1" customFormat="false" ht="27.75" hidden="false" customHeight="true" outlineLevel="0" collapsed="false">
      <c r="A1" s="21" t="s">
        <v>130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8" hidden="false" customHeight="true" outlineLevel="0" collapsed="false">
      <c r="A2" s="22" t="s">
        <v>131</v>
      </c>
      <c r="B2" s="22" t="s">
        <v>132</v>
      </c>
      <c r="C2" s="22" t="s">
        <v>133</v>
      </c>
      <c r="D2" s="22" t="s">
        <v>134</v>
      </c>
      <c r="E2" s="22" t="s">
        <v>135</v>
      </c>
      <c r="F2" s="22" t="s">
        <v>136</v>
      </c>
      <c r="G2" s="22" t="s">
        <v>137</v>
      </c>
      <c r="H2" s="22" t="s">
        <v>138</v>
      </c>
      <c r="I2" s="22" t="s">
        <v>139</v>
      </c>
      <c r="J2" s="22" t="s">
        <v>140</v>
      </c>
    </row>
    <row r="3" customFormat="false" ht="15.75" hidden="false" customHeight="true" outlineLevel="0" collapsed="false">
      <c r="A3" s="18" t="n">
        <v>1</v>
      </c>
      <c r="B3" s="17" t="s">
        <v>40</v>
      </c>
      <c r="C3" s="18" t="n">
        <v>1</v>
      </c>
      <c r="D3" s="18" t="n">
        <v>2</v>
      </c>
      <c r="E3" s="24" t="n">
        <v>3</v>
      </c>
      <c r="F3" s="24" t="n">
        <v>1</v>
      </c>
      <c r="G3" s="18" t="n">
        <v>0</v>
      </c>
      <c r="H3" s="18" t="n">
        <v>1</v>
      </c>
      <c r="I3" s="17" t="s">
        <v>44</v>
      </c>
      <c r="J3" s="26" t="s">
        <v>40</v>
      </c>
    </row>
    <row r="4" customFormat="false" ht="15.75" hidden="false" customHeight="true" outlineLevel="0" collapsed="false">
      <c r="A4" s="20" t="n">
        <v>2</v>
      </c>
      <c r="B4" s="19" t="s">
        <v>49</v>
      </c>
      <c r="C4" s="20" t="n">
        <v>2</v>
      </c>
      <c r="D4" s="20" t="n">
        <v>3</v>
      </c>
      <c r="E4" s="25" t="n">
        <v>5</v>
      </c>
      <c r="F4" s="25" t="n">
        <v>3</v>
      </c>
      <c r="G4" s="20" t="n">
        <v>2</v>
      </c>
      <c r="H4" s="20" t="n">
        <v>1</v>
      </c>
      <c r="I4" s="19" t="s">
        <v>18</v>
      </c>
      <c r="J4" s="26" t="s">
        <v>49</v>
      </c>
    </row>
    <row r="5" customFormat="false" ht="15.75" hidden="false" customHeight="true" outlineLevel="0" collapsed="false">
      <c r="A5" s="18" t="n">
        <v>3</v>
      </c>
      <c r="B5" s="17" t="s">
        <v>141</v>
      </c>
      <c r="C5" s="18" t="n">
        <v>1</v>
      </c>
      <c r="D5" s="18" t="n">
        <v>3</v>
      </c>
      <c r="E5" s="24" t="n">
        <v>4</v>
      </c>
      <c r="F5" s="24" t="n">
        <v>3</v>
      </c>
      <c r="G5" s="18" t="n">
        <v>2</v>
      </c>
      <c r="H5" s="18" t="n">
        <v>1</v>
      </c>
      <c r="I5" s="17" t="s">
        <v>38</v>
      </c>
      <c r="J5" s="26" t="s">
        <v>141</v>
      </c>
    </row>
    <row r="6" customFormat="false" ht="15.75" hidden="false" customHeight="true" outlineLevel="0" collapsed="false">
      <c r="A6" s="20" t="n">
        <v>4</v>
      </c>
      <c r="B6" s="19" t="s">
        <v>42</v>
      </c>
      <c r="C6" s="20" t="n">
        <v>3</v>
      </c>
      <c r="D6" s="20" t="n">
        <v>5</v>
      </c>
      <c r="E6" s="25" t="n">
        <v>8</v>
      </c>
      <c r="F6" s="25" t="n">
        <v>1</v>
      </c>
      <c r="G6" s="20" t="n">
        <v>1</v>
      </c>
      <c r="H6" s="20" t="n">
        <v>0</v>
      </c>
      <c r="I6" s="19" t="s">
        <v>55</v>
      </c>
      <c r="J6" s="26" t="s">
        <v>42</v>
      </c>
    </row>
    <row r="7" customFormat="false" ht="15.75" hidden="false" customHeight="true" outlineLevel="0" collapsed="false">
      <c r="A7" s="18" t="n">
        <v>5</v>
      </c>
      <c r="B7" s="17" t="s">
        <v>46</v>
      </c>
      <c r="C7" s="18" t="n">
        <v>1</v>
      </c>
      <c r="D7" s="18" t="n">
        <v>3</v>
      </c>
      <c r="E7" s="24" t="n">
        <v>4</v>
      </c>
      <c r="F7" s="24" t="n">
        <v>1</v>
      </c>
      <c r="G7" s="18" t="n">
        <v>0</v>
      </c>
      <c r="H7" s="18" t="n">
        <v>1</v>
      </c>
      <c r="I7" s="17" t="s">
        <v>25</v>
      </c>
      <c r="J7" s="26" t="s">
        <v>46</v>
      </c>
    </row>
    <row r="8" customFormat="false" ht="15.75" hidden="false" customHeight="true" outlineLevel="0" collapsed="false">
      <c r="A8" s="20" t="n">
        <v>6</v>
      </c>
      <c r="B8" s="19" t="s">
        <v>48</v>
      </c>
      <c r="C8" s="20" t="n">
        <v>6</v>
      </c>
      <c r="D8" s="20" t="n">
        <v>7</v>
      </c>
      <c r="E8" s="25" t="n">
        <v>13</v>
      </c>
      <c r="F8" s="25" t="n">
        <v>2</v>
      </c>
      <c r="G8" s="20" t="n">
        <v>2</v>
      </c>
      <c r="H8" s="20" t="n">
        <v>0</v>
      </c>
      <c r="I8" s="19" t="s">
        <v>14</v>
      </c>
      <c r="J8" s="26" t="s">
        <v>48</v>
      </c>
    </row>
    <row r="9" customFormat="false" ht="15.75" hidden="false" customHeight="true" outlineLevel="0" collapsed="false">
      <c r="A9" s="18" t="n">
        <v>7</v>
      </c>
      <c r="B9" s="17" t="s">
        <v>21</v>
      </c>
      <c r="C9" s="18" t="n">
        <v>0</v>
      </c>
      <c r="D9" s="18" t="n">
        <v>3</v>
      </c>
      <c r="E9" s="24" t="n">
        <v>3</v>
      </c>
      <c r="F9" s="24" t="n">
        <v>1</v>
      </c>
      <c r="G9" s="18" t="n">
        <v>1</v>
      </c>
      <c r="H9" s="18" t="n">
        <v>0</v>
      </c>
      <c r="I9" s="17" t="s">
        <v>53</v>
      </c>
      <c r="J9" s="26" t="s">
        <v>21</v>
      </c>
    </row>
    <row r="10" customFormat="false" ht="15.75" hidden="false" customHeight="true" outlineLevel="0" collapsed="false">
      <c r="A10" s="20" t="n">
        <v>8</v>
      </c>
      <c r="B10" s="19" t="s">
        <v>51</v>
      </c>
      <c r="C10" s="20" t="n">
        <v>0</v>
      </c>
      <c r="D10" s="20" t="n">
        <v>5</v>
      </c>
      <c r="E10" s="25" t="n">
        <v>5</v>
      </c>
      <c r="F10" s="25" t="n">
        <v>1</v>
      </c>
      <c r="G10" s="20" t="n">
        <v>1</v>
      </c>
      <c r="H10" s="20" t="n">
        <v>0</v>
      </c>
      <c r="I10" s="19" t="s">
        <v>45</v>
      </c>
      <c r="J10" s="26" t="s">
        <v>51</v>
      </c>
    </row>
    <row r="11" customFormat="false" ht="15.75" hidden="false" customHeight="true" outlineLevel="0" collapsed="false">
      <c r="A11" s="18" t="n">
        <v>9</v>
      </c>
      <c r="B11" s="17" t="s">
        <v>54</v>
      </c>
      <c r="C11" s="18" t="n">
        <v>0</v>
      </c>
      <c r="D11" s="18" t="n">
        <v>2</v>
      </c>
      <c r="E11" s="24" t="n">
        <v>2</v>
      </c>
      <c r="F11" s="24" t="n">
        <v>1</v>
      </c>
      <c r="G11" s="18" t="n">
        <v>1</v>
      </c>
      <c r="H11" s="18" t="n">
        <v>0</v>
      </c>
      <c r="I11" s="17" t="s">
        <v>32</v>
      </c>
      <c r="J11" s="26" t="s">
        <v>54</v>
      </c>
    </row>
    <row r="12" customFormat="false" ht="15.75" hidden="false" customHeight="true" outlineLevel="0" collapsed="false">
      <c r="A12" s="20" t="n">
        <v>10</v>
      </c>
      <c r="B12" s="19" t="s">
        <v>50</v>
      </c>
      <c r="C12" s="20" t="n">
        <v>3</v>
      </c>
      <c r="D12" s="20" t="n">
        <v>3</v>
      </c>
      <c r="E12" s="25" t="n">
        <v>6</v>
      </c>
      <c r="F12" s="25" t="n">
        <v>5</v>
      </c>
      <c r="G12" s="20" t="n">
        <v>2</v>
      </c>
      <c r="H12" s="20" t="n">
        <v>3</v>
      </c>
      <c r="I12" s="19" t="s">
        <v>43</v>
      </c>
      <c r="J12" s="26" t="s">
        <v>50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34"/>
    <col collapsed="false" customWidth="true" hidden="false" outlineLevel="0" max="5" min="4" style="1" width="13"/>
    <col collapsed="false" customWidth="true" hidden="false" outlineLevel="0" max="6" min="6" style="1" width="10"/>
    <col collapsed="false" customWidth="true" hidden="false" outlineLevel="0" max="7" min="7" style="1" width="45"/>
  </cols>
  <sheetData>
    <row r="1" customFormat="false" ht="27.75" hidden="false" customHeight="true" outlineLevel="0" collapsed="false">
      <c r="A1" s="21" t="s">
        <v>142</v>
      </c>
      <c r="B1" s="21"/>
      <c r="C1" s="21"/>
      <c r="D1" s="21"/>
      <c r="E1" s="21"/>
      <c r="F1" s="21"/>
      <c r="G1" s="21"/>
    </row>
    <row r="2" customFormat="false" ht="18" hidden="false" customHeight="true" outlineLevel="0" collapsed="false">
      <c r="A2" s="22" t="s">
        <v>143</v>
      </c>
      <c r="B2" s="22" t="s">
        <v>144</v>
      </c>
      <c r="C2" s="22" t="s">
        <v>145</v>
      </c>
      <c r="D2" s="22" t="s">
        <v>146</v>
      </c>
      <c r="E2" s="22" t="s">
        <v>147</v>
      </c>
      <c r="F2" s="22" t="s">
        <v>148</v>
      </c>
      <c r="G2" s="22" t="s">
        <v>149</v>
      </c>
    </row>
    <row r="3" customFormat="false" ht="15.75" hidden="false" customHeight="true" outlineLevel="0" collapsed="false">
      <c r="A3" s="27" t="n">
        <v>1</v>
      </c>
      <c r="B3" s="26" t="s">
        <v>40</v>
      </c>
      <c r="C3" s="28" t="s">
        <v>44</v>
      </c>
      <c r="D3" s="27" t="n">
        <v>3</v>
      </c>
      <c r="E3" s="29" t="n">
        <v>1</v>
      </c>
      <c r="F3" s="23" t="n">
        <v>2</v>
      </c>
      <c r="G3" s="28" t="s">
        <v>150</v>
      </c>
    </row>
    <row r="4" customFormat="false" ht="15.75" hidden="false" customHeight="true" outlineLevel="0" collapsed="false">
      <c r="A4" s="30" t="n">
        <v>2</v>
      </c>
      <c r="B4" s="31" t="s">
        <v>49</v>
      </c>
      <c r="C4" s="32" t="s">
        <v>18</v>
      </c>
      <c r="D4" s="30" t="n">
        <v>5</v>
      </c>
      <c r="E4" s="33" t="n">
        <v>3</v>
      </c>
      <c r="F4" s="34" t="n">
        <v>2</v>
      </c>
      <c r="G4" s="32" t="s">
        <v>151</v>
      </c>
    </row>
    <row r="5" customFormat="false" ht="15.75" hidden="false" customHeight="true" outlineLevel="0" collapsed="false">
      <c r="A5" s="27" t="n">
        <v>3</v>
      </c>
      <c r="B5" s="26" t="s">
        <v>141</v>
      </c>
      <c r="C5" s="28" t="s">
        <v>38</v>
      </c>
      <c r="D5" s="27" t="n">
        <v>4</v>
      </c>
      <c r="E5" s="29" t="n">
        <v>3</v>
      </c>
      <c r="F5" s="23" t="n">
        <v>1</v>
      </c>
      <c r="G5" s="28" t="s">
        <v>152</v>
      </c>
    </row>
    <row r="6" customFormat="false" ht="15.75" hidden="false" customHeight="true" outlineLevel="0" collapsed="false">
      <c r="A6" s="30" t="n">
        <v>4</v>
      </c>
      <c r="B6" s="31" t="s">
        <v>42</v>
      </c>
      <c r="C6" s="32" t="s">
        <v>55</v>
      </c>
      <c r="D6" s="30" t="n">
        <v>8</v>
      </c>
      <c r="E6" s="33" t="n">
        <v>1</v>
      </c>
      <c r="F6" s="34" t="n">
        <v>7</v>
      </c>
      <c r="G6" s="32" t="s">
        <v>153</v>
      </c>
    </row>
    <row r="7" customFormat="false" ht="15.75" hidden="false" customHeight="true" outlineLevel="0" collapsed="false">
      <c r="A7" s="27" t="n">
        <v>5</v>
      </c>
      <c r="B7" s="26" t="s">
        <v>46</v>
      </c>
      <c r="C7" s="28" t="s">
        <v>25</v>
      </c>
      <c r="D7" s="27" t="n">
        <v>4</v>
      </c>
      <c r="E7" s="29" t="n">
        <v>2</v>
      </c>
      <c r="F7" s="23" t="n">
        <v>2</v>
      </c>
      <c r="G7" s="28" t="s">
        <v>154</v>
      </c>
    </row>
    <row r="8" customFormat="false" ht="15.75" hidden="false" customHeight="true" outlineLevel="0" collapsed="false">
      <c r="A8" s="30" t="n">
        <v>6</v>
      </c>
      <c r="B8" s="31" t="s">
        <v>48</v>
      </c>
      <c r="C8" s="32" t="s">
        <v>14</v>
      </c>
      <c r="D8" s="30" t="n">
        <v>13</v>
      </c>
      <c r="E8" s="33" t="n">
        <v>2</v>
      </c>
      <c r="F8" s="34" t="n">
        <v>11</v>
      </c>
      <c r="G8" s="32" t="s">
        <v>155</v>
      </c>
    </row>
    <row r="9" customFormat="false" ht="15.75" hidden="false" customHeight="true" outlineLevel="0" collapsed="false">
      <c r="A9" s="27" t="n">
        <v>7</v>
      </c>
      <c r="B9" s="26" t="s">
        <v>21</v>
      </c>
      <c r="C9" s="28" t="s">
        <v>53</v>
      </c>
      <c r="D9" s="27" t="n">
        <v>3</v>
      </c>
      <c r="E9" s="29" t="n">
        <v>1</v>
      </c>
      <c r="F9" s="23" t="n">
        <v>2</v>
      </c>
      <c r="G9" s="28" t="s">
        <v>156</v>
      </c>
    </row>
    <row r="10" customFormat="false" ht="15.75" hidden="false" customHeight="true" outlineLevel="0" collapsed="false">
      <c r="A10" s="30" t="n">
        <v>8</v>
      </c>
      <c r="B10" s="31" t="s">
        <v>51</v>
      </c>
      <c r="C10" s="32" t="s">
        <v>45</v>
      </c>
      <c r="D10" s="30" t="n">
        <v>5</v>
      </c>
      <c r="E10" s="33" t="n">
        <v>1</v>
      </c>
      <c r="F10" s="34" t="n">
        <v>4</v>
      </c>
      <c r="G10" s="32" t="s">
        <v>157</v>
      </c>
    </row>
    <row r="11" customFormat="false" ht="15.75" hidden="false" customHeight="true" outlineLevel="0" collapsed="false">
      <c r="A11" s="27" t="n">
        <v>9</v>
      </c>
      <c r="B11" s="26" t="s">
        <v>54</v>
      </c>
      <c r="C11" s="28" t="s">
        <v>32</v>
      </c>
      <c r="D11" s="27" t="n">
        <v>2</v>
      </c>
      <c r="E11" s="29" t="n">
        <v>1</v>
      </c>
      <c r="F11" s="23" t="n">
        <v>1</v>
      </c>
      <c r="G11" s="28" t="s">
        <v>158</v>
      </c>
    </row>
    <row r="12" customFormat="false" ht="15.75" hidden="false" customHeight="true" outlineLevel="0" collapsed="false">
      <c r="A12" s="30" t="n">
        <v>10</v>
      </c>
      <c r="B12" s="31" t="s">
        <v>50</v>
      </c>
      <c r="C12" s="32" t="s">
        <v>43</v>
      </c>
      <c r="D12" s="30" t="n">
        <v>6</v>
      </c>
      <c r="E12" s="33" t="n">
        <v>5</v>
      </c>
      <c r="F12" s="34" t="n">
        <v>1</v>
      </c>
      <c r="G12" s="32" t="s">
        <v>159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32"/>
    <col collapsed="false" customWidth="true" hidden="false" outlineLevel="0" max="4" min="4" style="1" width="5"/>
    <col collapsed="false" customWidth="true" hidden="false" outlineLevel="0" max="5" min="5" style="1" width="7"/>
    <col collapsed="false" customWidth="true" hidden="false" outlineLevel="0" max="6" min="6" style="1" width="9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35" t="s">
        <v>160</v>
      </c>
      <c r="B1" s="35"/>
      <c r="C1" s="35"/>
      <c r="D1" s="35"/>
      <c r="E1" s="35"/>
      <c r="F1" s="35"/>
      <c r="G1" s="35"/>
      <c r="H1" s="35"/>
    </row>
    <row r="2" customFormat="false" ht="18" hidden="false" customHeight="true" outlineLevel="0" collapsed="false">
      <c r="A2" s="22" t="s">
        <v>161</v>
      </c>
      <c r="B2" s="22" t="s">
        <v>162</v>
      </c>
      <c r="C2" s="22" t="s">
        <v>163</v>
      </c>
      <c r="D2" s="22" t="s">
        <v>164</v>
      </c>
      <c r="E2" s="22" t="s">
        <v>165</v>
      </c>
      <c r="F2" s="22" t="s">
        <v>166</v>
      </c>
      <c r="G2" s="22" t="s">
        <v>167</v>
      </c>
      <c r="H2" s="22" t="s">
        <v>168</v>
      </c>
    </row>
    <row r="3" customFormat="false" ht="15" hidden="false" customHeight="true" outlineLevel="0" collapsed="false">
      <c r="A3" s="36" t="n">
        <v>1</v>
      </c>
      <c r="B3" s="37" t="s">
        <v>169</v>
      </c>
      <c r="C3" s="37" t="s">
        <v>170</v>
      </c>
      <c r="D3" s="38" t="n">
        <v>2</v>
      </c>
      <c r="E3" s="39" t="n">
        <v>3</v>
      </c>
      <c r="F3" s="38" t="n">
        <v>0</v>
      </c>
      <c r="G3" s="40" t="n">
        <v>1.5</v>
      </c>
      <c r="H3" s="38" t="n">
        <v>3</v>
      </c>
    </row>
    <row r="4" customFormat="false" ht="15" hidden="false" customHeight="true" outlineLevel="0" collapsed="false">
      <c r="A4" s="41" t="n">
        <v>2</v>
      </c>
      <c r="B4" s="42" t="s">
        <v>171</v>
      </c>
      <c r="C4" s="42" t="s">
        <v>172</v>
      </c>
      <c r="D4" s="43" t="n">
        <v>2</v>
      </c>
      <c r="E4" s="44" t="n">
        <v>3</v>
      </c>
      <c r="F4" s="43" t="n">
        <v>0</v>
      </c>
      <c r="G4" s="45" t="n">
        <v>1.5</v>
      </c>
      <c r="H4" s="43" t="n">
        <v>3</v>
      </c>
    </row>
    <row r="5" customFormat="false" ht="15" hidden="false" customHeight="true" outlineLevel="0" collapsed="false">
      <c r="A5" s="46" t="n">
        <v>3</v>
      </c>
      <c r="B5" s="47" t="s">
        <v>173</v>
      </c>
      <c r="C5" s="47" t="s">
        <v>174</v>
      </c>
      <c r="D5" s="48" t="n">
        <v>2</v>
      </c>
      <c r="E5" s="49" t="n">
        <v>3</v>
      </c>
      <c r="F5" s="50" t="n">
        <v>0</v>
      </c>
      <c r="G5" s="50" t="n">
        <v>1.5</v>
      </c>
      <c r="H5" s="48" t="n">
        <v>3</v>
      </c>
    </row>
    <row r="6" customFormat="false" ht="15" hidden="false" customHeight="true" outlineLevel="0" collapsed="false">
      <c r="A6" s="51" t="n">
        <v>4</v>
      </c>
      <c r="B6" s="32" t="s">
        <v>175</v>
      </c>
      <c r="C6" s="32" t="s">
        <v>176</v>
      </c>
      <c r="D6" s="30" t="n">
        <v>2</v>
      </c>
      <c r="E6" s="52" t="n">
        <v>3</v>
      </c>
      <c r="F6" s="53" t="n">
        <v>1</v>
      </c>
      <c r="G6" s="53" t="n">
        <v>1.5</v>
      </c>
      <c r="H6" s="30" t="n">
        <v>2</v>
      </c>
    </row>
    <row r="7" customFormat="false" ht="15" hidden="false" customHeight="true" outlineLevel="0" collapsed="false">
      <c r="A7" s="54" t="n">
        <v>5</v>
      </c>
      <c r="B7" s="28" t="s">
        <v>177</v>
      </c>
      <c r="C7" s="28" t="s">
        <v>176</v>
      </c>
      <c r="D7" s="27" t="n">
        <v>2</v>
      </c>
      <c r="E7" s="55" t="n">
        <v>3</v>
      </c>
      <c r="F7" s="56" t="n">
        <v>0</v>
      </c>
      <c r="G7" s="56" t="n">
        <v>1.5</v>
      </c>
      <c r="H7" s="27" t="n">
        <v>3</v>
      </c>
    </row>
    <row r="8" customFormat="false" ht="15" hidden="false" customHeight="true" outlineLevel="0" collapsed="false">
      <c r="A8" s="51" t="n">
        <v>6</v>
      </c>
      <c r="B8" s="32" t="s">
        <v>178</v>
      </c>
      <c r="C8" s="32" t="s">
        <v>176</v>
      </c>
      <c r="D8" s="30" t="n">
        <v>2</v>
      </c>
      <c r="E8" s="52" t="n">
        <v>2</v>
      </c>
      <c r="F8" s="53" t="n">
        <v>0</v>
      </c>
      <c r="G8" s="53" t="n">
        <v>1</v>
      </c>
      <c r="H8" s="30" t="n">
        <v>2</v>
      </c>
    </row>
    <row r="9" customFormat="false" ht="15" hidden="false" customHeight="true" outlineLevel="0" collapsed="false">
      <c r="A9" s="54" t="n">
        <v>7</v>
      </c>
      <c r="B9" s="28" t="s">
        <v>179</v>
      </c>
      <c r="C9" s="28" t="s">
        <v>180</v>
      </c>
      <c r="D9" s="27" t="n">
        <v>2</v>
      </c>
      <c r="E9" s="55" t="n">
        <v>2</v>
      </c>
      <c r="F9" s="56" t="n">
        <v>0</v>
      </c>
      <c r="G9" s="56" t="n">
        <v>1</v>
      </c>
      <c r="H9" s="27" t="n">
        <v>2</v>
      </c>
    </row>
    <row r="10" customFormat="false" ht="15" hidden="false" customHeight="true" outlineLevel="0" collapsed="false">
      <c r="A10" s="51" t="n">
        <v>8</v>
      </c>
      <c r="B10" s="32" t="s">
        <v>181</v>
      </c>
      <c r="C10" s="32" t="s">
        <v>182</v>
      </c>
      <c r="D10" s="30" t="n">
        <v>2</v>
      </c>
      <c r="E10" s="52" t="n">
        <v>2</v>
      </c>
      <c r="F10" s="53" t="n">
        <v>0</v>
      </c>
      <c r="G10" s="53" t="n">
        <v>1</v>
      </c>
      <c r="H10" s="30" t="n">
        <v>2</v>
      </c>
    </row>
    <row r="11" customFormat="false" ht="15" hidden="false" customHeight="true" outlineLevel="0" collapsed="false">
      <c r="A11" s="54" t="n">
        <v>9</v>
      </c>
      <c r="B11" s="28" t="s">
        <v>183</v>
      </c>
      <c r="C11" s="28" t="s">
        <v>184</v>
      </c>
      <c r="D11" s="27" t="n">
        <v>2</v>
      </c>
      <c r="E11" s="55" t="n">
        <v>2</v>
      </c>
      <c r="F11" s="56" t="n">
        <v>0</v>
      </c>
      <c r="G11" s="56" t="n">
        <v>1</v>
      </c>
      <c r="H11" s="27" t="n">
        <v>2</v>
      </c>
    </row>
    <row r="12" customFormat="false" ht="15" hidden="false" customHeight="true" outlineLevel="0" collapsed="false">
      <c r="A12" s="51" t="n">
        <v>10</v>
      </c>
      <c r="B12" s="32" t="s">
        <v>185</v>
      </c>
      <c r="C12" s="32" t="s">
        <v>184</v>
      </c>
      <c r="D12" s="30" t="n">
        <v>2</v>
      </c>
      <c r="E12" s="52" t="n">
        <v>2</v>
      </c>
      <c r="F12" s="53" t="n">
        <v>0</v>
      </c>
      <c r="G12" s="53" t="n">
        <v>1</v>
      </c>
      <c r="H12" s="30" t="n">
        <v>2</v>
      </c>
    </row>
    <row r="13" customFormat="false" ht="15" hidden="false" customHeight="true" outlineLevel="0" collapsed="false">
      <c r="A13" s="54" t="n">
        <v>11</v>
      </c>
      <c r="B13" s="28" t="s">
        <v>186</v>
      </c>
      <c r="C13" s="28" t="s">
        <v>176</v>
      </c>
      <c r="D13" s="27" t="n">
        <v>2</v>
      </c>
      <c r="E13" s="55" t="n">
        <v>2</v>
      </c>
      <c r="F13" s="56" t="n">
        <v>0</v>
      </c>
      <c r="G13" s="56" t="n">
        <v>1</v>
      </c>
      <c r="H13" s="27" t="n">
        <v>2</v>
      </c>
    </row>
    <row r="14" customFormat="false" ht="15" hidden="false" customHeight="true" outlineLevel="0" collapsed="false">
      <c r="A14" s="51" t="n">
        <v>12</v>
      </c>
      <c r="B14" s="32" t="s">
        <v>187</v>
      </c>
      <c r="C14" s="32" t="s">
        <v>188</v>
      </c>
      <c r="D14" s="30" t="n">
        <v>2</v>
      </c>
      <c r="E14" s="52" t="n">
        <v>2</v>
      </c>
      <c r="F14" s="53" t="n">
        <v>0</v>
      </c>
      <c r="G14" s="53" t="n">
        <v>1</v>
      </c>
      <c r="H14" s="30" t="n">
        <v>2</v>
      </c>
    </row>
    <row r="15" customFormat="false" ht="15" hidden="false" customHeight="true" outlineLevel="0" collapsed="false">
      <c r="A15" s="54" t="n">
        <v>13</v>
      </c>
      <c r="B15" s="28" t="s">
        <v>189</v>
      </c>
      <c r="C15" s="28" t="s">
        <v>182</v>
      </c>
      <c r="D15" s="27" t="n">
        <v>2</v>
      </c>
      <c r="E15" s="55" t="n">
        <v>2</v>
      </c>
      <c r="F15" s="56" t="n">
        <v>0</v>
      </c>
      <c r="G15" s="56" t="n">
        <v>1</v>
      </c>
      <c r="H15" s="27" t="n">
        <v>2</v>
      </c>
    </row>
    <row r="16" customFormat="false" ht="15" hidden="false" customHeight="true" outlineLevel="0" collapsed="false">
      <c r="A16" s="51" t="n">
        <v>14</v>
      </c>
      <c r="B16" s="32" t="s">
        <v>190</v>
      </c>
      <c r="C16" s="32" t="s">
        <v>184</v>
      </c>
      <c r="D16" s="30" t="n">
        <v>2</v>
      </c>
      <c r="E16" s="52" t="n">
        <v>2</v>
      </c>
      <c r="F16" s="53" t="n">
        <v>0</v>
      </c>
      <c r="G16" s="53" t="n">
        <v>1</v>
      </c>
      <c r="H16" s="30" t="n">
        <v>2</v>
      </c>
    </row>
    <row r="17" customFormat="false" ht="15" hidden="false" customHeight="true" outlineLevel="0" collapsed="false">
      <c r="A17" s="54" t="n">
        <v>15</v>
      </c>
      <c r="B17" s="28" t="s">
        <v>191</v>
      </c>
      <c r="C17" s="28" t="s">
        <v>192</v>
      </c>
      <c r="D17" s="27" t="n">
        <v>2</v>
      </c>
      <c r="E17" s="55" t="n">
        <v>2</v>
      </c>
      <c r="F17" s="56" t="n">
        <v>0</v>
      </c>
      <c r="G17" s="56" t="n">
        <v>1</v>
      </c>
      <c r="H17" s="27" t="n">
        <v>2</v>
      </c>
    </row>
    <row r="18" customFormat="false" ht="15" hidden="false" customHeight="true" outlineLevel="0" collapsed="false">
      <c r="A18" s="51" t="n">
        <v>16</v>
      </c>
      <c r="B18" s="32" t="s">
        <v>193</v>
      </c>
      <c r="C18" s="32" t="s">
        <v>194</v>
      </c>
      <c r="D18" s="30" t="n">
        <v>1</v>
      </c>
      <c r="E18" s="52" t="n">
        <v>1</v>
      </c>
      <c r="F18" s="53" t="n">
        <v>0</v>
      </c>
      <c r="G18" s="53" t="n">
        <v>1</v>
      </c>
      <c r="H18" s="30" t="n">
        <v>1</v>
      </c>
    </row>
    <row r="19" customFormat="false" ht="15" hidden="false" customHeight="true" outlineLevel="0" collapsed="false">
      <c r="A19" s="54" t="n">
        <v>17</v>
      </c>
      <c r="B19" s="28" t="s">
        <v>195</v>
      </c>
      <c r="C19" s="28" t="s">
        <v>176</v>
      </c>
      <c r="D19" s="27" t="n">
        <v>1</v>
      </c>
      <c r="E19" s="55" t="n">
        <v>1</v>
      </c>
      <c r="F19" s="56" t="n">
        <v>0</v>
      </c>
      <c r="G19" s="56" t="n">
        <v>1</v>
      </c>
      <c r="H19" s="27" t="n">
        <v>1</v>
      </c>
    </row>
    <row r="20" customFormat="false" ht="15" hidden="false" customHeight="true" outlineLevel="0" collapsed="false">
      <c r="A20" s="51" t="n">
        <v>18</v>
      </c>
      <c r="B20" s="32" t="s">
        <v>196</v>
      </c>
      <c r="C20" s="32" t="s">
        <v>197</v>
      </c>
      <c r="D20" s="30" t="n">
        <v>1</v>
      </c>
      <c r="E20" s="52" t="n">
        <v>1</v>
      </c>
      <c r="F20" s="53" t="n">
        <v>0</v>
      </c>
      <c r="G20" s="53" t="n">
        <v>1</v>
      </c>
      <c r="H20" s="30" t="n">
        <v>1</v>
      </c>
    </row>
    <row r="21" customFormat="false" ht="15" hidden="false" customHeight="true" outlineLevel="0" collapsed="false">
      <c r="A21" s="54" t="n">
        <v>19</v>
      </c>
      <c r="B21" s="28" t="s">
        <v>198</v>
      </c>
      <c r="C21" s="28" t="s">
        <v>199</v>
      </c>
      <c r="D21" s="27" t="n">
        <v>1</v>
      </c>
      <c r="E21" s="55" t="n">
        <v>1</v>
      </c>
      <c r="F21" s="56" t="n">
        <v>0</v>
      </c>
      <c r="G21" s="56" t="n">
        <v>1</v>
      </c>
      <c r="H21" s="27" t="n">
        <v>1</v>
      </c>
    </row>
    <row r="22" customFormat="false" ht="15" hidden="false" customHeight="true" outlineLevel="0" collapsed="false">
      <c r="A22" s="51" t="n">
        <v>20</v>
      </c>
      <c r="B22" s="32" t="s">
        <v>200</v>
      </c>
      <c r="C22" s="32" t="s">
        <v>194</v>
      </c>
      <c r="D22" s="30" t="n">
        <v>1</v>
      </c>
      <c r="E22" s="52" t="n">
        <v>1</v>
      </c>
      <c r="F22" s="53" t="n">
        <v>0</v>
      </c>
      <c r="G22" s="53" t="n">
        <v>1</v>
      </c>
      <c r="H22" s="30" t="n">
        <v>1</v>
      </c>
    </row>
    <row r="23" customFormat="false" ht="15" hidden="false" customHeight="true" outlineLevel="0" collapsed="false">
      <c r="A23" s="54" t="n">
        <v>21</v>
      </c>
      <c r="B23" s="28" t="s">
        <v>201</v>
      </c>
      <c r="C23" s="28" t="s">
        <v>172</v>
      </c>
      <c r="D23" s="27" t="n">
        <v>2</v>
      </c>
      <c r="E23" s="55" t="n">
        <v>1</v>
      </c>
      <c r="F23" s="56" t="n">
        <v>0</v>
      </c>
      <c r="G23" s="56" t="n">
        <v>0.5</v>
      </c>
      <c r="H23" s="27" t="n">
        <v>1</v>
      </c>
    </row>
    <row r="24" customFormat="false" ht="15" hidden="false" customHeight="true" outlineLevel="0" collapsed="false">
      <c r="A24" s="51" t="n">
        <v>22</v>
      </c>
      <c r="B24" s="32" t="s">
        <v>202</v>
      </c>
      <c r="C24" s="32" t="s">
        <v>203</v>
      </c>
      <c r="D24" s="30" t="n">
        <v>2</v>
      </c>
      <c r="E24" s="52" t="n">
        <v>1</v>
      </c>
      <c r="F24" s="53" t="n">
        <v>0</v>
      </c>
      <c r="G24" s="53" t="n">
        <v>0.5</v>
      </c>
      <c r="H24" s="30" t="n">
        <v>1</v>
      </c>
    </row>
    <row r="25" customFormat="false" ht="15" hidden="false" customHeight="true" outlineLevel="0" collapsed="false">
      <c r="A25" s="54" t="n">
        <v>23</v>
      </c>
      <c r="B25" s="28" t="s">
        <v>204</v>
      </c>
      <c r="C25" s="28" t="s">
        <v>192</v>
      </c>
      <c r="D25" s="27" t="n">
        <v>2</v>
      </c>
      <c r="E25" s="55" t="n">
        <v>1</v>
      </c>
      <c r="F25" s="56" t="n">
        <v>0</v>
      </c>
      <c r="G25" s="56" t="n">
        <v>0.5</v>
      </c>
      <c r="H25" s="27" t="n">
        <v>1</v>
      </c>
    </row>
    <row r="26" customFormat="false" ht="15" hidden="false" customHeight="true" outlineLevel="0" collapsed="false">
      <c r="A26" s="51" t="n">
        <v>24</v>
      </c>
      <c r="B26" s="32" t="s">
        <v>205</v>
      </c>
      <c r="C26" s="32" t="s">
        <v>197</v>
      </c>
      <c r="D26" s="30" t="n">
        <v>2</v>
      </c>
      <c r="E26" s="52" t="n">
        <v>1</v>
      </c>
      <c r="F26" s="53" t="n">
        <v>0</v>
      </c>
      <c r="G26" s="53" t="n">
        <v>0.5</v>
      </c>
      <c r="H26" s="30" t="n">
        <v>1</v>
      </c>
    </row>
    <row r="27" customFormat="false" ht="15" hidden="false" customHeight="true" outlineLevel="0" collapsed="false">
      <c r="A27" s="54" t="n">
        <v>25</v>
      </c>
      <c r="B27" s="28" t="s">
        <v>206</v>
      </c>
      <c r="C27" s="28" t="s">
        <v>207</v>
      </c>
      <c r="D27" s="27" t="n">
        <v>2</v>
      </c>
      <c r="E27" s="55" t="n">
        <v>1</v>
      </c>
      <c r="F27" s="56" t="n">
        <v>0</v>
      </c>
      <c r="G27" s="56" t="n">
        <v>0.5</v>
      </c>
      <c r="H27" s="27" t="n">
        <v>1</v>
      </c>
    </row>
    <row r="28" customFormat="false" ht="15" hidden="false" customHeight="true" outlineLevel="0" collapsed="false">
      <c r="A28" s="51" t="n">
        <v>26</v>
      </c>
      <c r="B28" s="32" t="s">
        <v>208</v>
      </c>
      <c r="C28" s="32" t="s">
        <v>172</v>
      </c>
      <c r="D28" s="30" t="n">
        <v>2</v>
      </c>
      <c r="E28" s="52" t="n">
        <v>1</v>
      </c>
      <c r="F28" s="53" t="n">
        <v>0</v>
      </c>
      <c r="G28" s="53" t="n">
        <v>0.5</v>
      </c>
      <c r="H28" s="30" t="n">
        <v>1</v>
      </c>
    </row>
    <row r="29" customFormat="false" ht="15" hidden="false" customHeight="true" outlineLevel="0" collapsed="false">
      <c r="A29" s="54" t="n">
        <v>27</v>
      </c>
      <c r="B29" s="28" t="s">
        <v>209</v>
      </c>
      <c r="C29" s="28" t="s">
        <v>210</v>
      </c>
      <c r="D29" s="27" t="n">
        <v>2</v>
      </c>
      <c r="E29" s="55" t="n">
        <v>1</v>
      </c>
      <c r="F29" s="56" t="n">
        <v>0</v>
      </c>
      <c r="G29" s="56" t="n">
        <v>0.5</v>
      </c>
      <c r="H29" s="27" t="n">
        <v>1</v>
      </c>
    </row>
    <row r="30" customFormat="false" ht="15" hidden="false" customHeight="true" outlineLevel="0" collapsed="false">
      <c r="A30" s="51" t="n">
        <v>28</v>
      </c>
      <c r="B30" s="32" t="s">
        <v>211</v>
      </c>
      <c r="C30" s="32" t="s">
        <v>180</v>
      </c>
      <c r="D30" s="30" t="n">
        <v>2</v>
      </c>
      <c r="E30" s="52" t="n">
        <v>1</v>
      </c>
      <c r="F30" s="53" t="n">
        <v>0</v>
      </c>
      <c r="G30" s="53" t="n">
        <v>0.5</v>
      </c>
      <c r="H30" s="30" t="n">
        <v>1</v>
      </c>
    </row>
    <row r="31" customFormat="false" ht="15" hidden="false" customHeight="true" outlineLevel="0" collapsed="false">
      <c r="A31" s="54" t="n">
        <v>29</v>
      </c>
      <c r="B31" s="28" t="s">
        <v>212</v>
      </c>
      <c r="C31" s="28" t="s">
        <v>172</v>
      </c>
      <c r="D31" s="27" t="n">
        <v>2</v>
      </c>
      <c r="E31" s="55" t="n">
        <v>1</v>
      </c>
      <c r="F31" s="56" t="n">
        <v>0</v>
      </c>
      <c r="G31" s="56" t="n">
        <v>0.5</v>
      </c>
      <c r="H31" s="27" t="n">
        <v>1</v>
      </c>
    </row>
    <row r="32" customFormat="false" ht="15" hidden="false" customHeight="true" outlineLevel="0" collapsed="false">
      <c r="A32" s="51" t="n">
        <v>30</v>
      </c>
      <c r="B32" s="32" t="s">
        <v>213</v>
      </c>
      <c r="C32" s="32" t="s">
        <v>214</v>
      </c>
      <c r="D32" s="30" t="n">
        <v>2</v>
      </c>
      <c r="E32" s="52" t="n">
        <v>1</v>
      </c>
      <c r="F32" s="53" t="n">
        <v>0</v>
      </c>
      <c r="G32" s="53" t="n">
        <v>0.5</v>
      </c>
      <c r="H32" s="30" t="n">
        <v>1</v>
      </c>
    </row>
    <row r="33" customFormat="false" ht="15" hidden="false" customHeight="true" outlineLevel="0" collapsed="false">
      <c r="A33" s="54" t="n">
        <v>31</v>
      </c>
      <c r="B33" s="28" t="s">
        <v>215</v>
      </c>
      <c r="C33" s="28" t="s">
        <v>184</v>
      </c>
      <c r="D33" s="27" t="n">
        <v>2</v>
      </c>
      <c r="E33" s="55" t="n">
        <v>1</v>
      </c>
      <c r="F33" s="56" t="n">
        <v>0</v>
      </c>
      <c r="G33" s="56" t="n">
        <v>0.5</v>
      </c>
      <c r="H33" s="27" t="n">
        <v>1</v>
      </c>
    </row>
    <row r="34" customFormat="false" ht="15" hidden="false" customHeight="true" outlineLevel="0" collapsed="false">
      <c r="A34" s="51" t="n">
        <v>32</v>
      </c>
      <c r="B34" s="32" t="s">
        <v>216</v>
      </c>
      <c r="C34" s="32" t="s">
        <v>217</v>
      </c>
      <c r="D34" s="30" t="n">
        <v>2</v>
      </c>
      <c r="E34" s="52" t="n">
        <v>1</v>
      </c>
      <c r="F34" s="53" t="n">
        <v>0</v>
      </c>
      <c r="G34" s="53" t="n">
        <v>0.5</v>
      </c>
      <c r="H34" s="30" t="n">
        <v>1</v>
      </c>
    </row>
    <row r="35" customFormat="false" ht="15" hidden="false" customHeight="true" outlineLevel="0" collapsed="false">
      <c r="A35" s="54" t="n">
        <v>33</v>
      </c>
      <c r="B35" s="28" t="s">
        <v>218</v>
      </c>
      <c r="C35" s="28" t="s">
        <v>184</v>
      </c>
      <c r="D35" s="27" t="n">
        <v>2</v>
      </c>
      <c r="E35" s="55" t="n">
        <v>1</v>
      </c>
      <c r="F35" s="27" t="n">
        <v>0</v>
      </c>
      <c r="G35" s="56" t="n">
        <v>0.5</v>
      </c>
      <c r="H35" s="27" t="n">
        <v>1</v>
      </c>
    </row>
    <row r="36" customFormat="false" ht="15" hidden="false" customHeight="true" outlineLevel="0" collapsed="false">
      <c r="A36" s="51" t="n">
        <v>34</v>
      </c>
      <c r="B36" s="32" t="s">
        <v>219</v>
      </c>
      <c r="C36" s="32" t="s">
        <v>207</v>
      </c>
      <c r="D36" s="30" t="n">
        <v>2</v>
      </c>
      <c r="E36" s="52" t="n">
        <v>1</v>
      </c>
      <c r="F36" s="30" t="n">
        <v>1</v>
      </c>
      <c r="G36" s="53" t="n">
        <v>0.5</v>
      </c>
      <c r="H36" s="30" t="n">
        <v>0</v>
      </c>
    </row>
    <row r="37" customFormat="false" ht="15" hidden="false" customHeight="true" outlineLevel="0" collapsed="false">
      <c r="A37" s="54" t="n">
        <v>35</v>
      </c>
      <c r="B37" s="28" t="s">
        <v>220</v>
      </c>
      <c r="C37" s="28" t="s">
        <v>199</v>
      </c>
      <c r="D37" s="27" t="n">
        <v>2</v>
      </c>
      <c r="E37" s="55" t="n">
        <v>1</v>
      </c>
      <c r="F37" s="27" t="n">
        <v>0</v>
      </c>
      <c r="G37" s="56" t="n">
        <v>0.5</v>
      </c>
      <c r="H37" s="27" t="n">
        <v>1</v>
      </c>
    </row>
    <row r="38" customFormat="false" ht="15" hidden="false" customHeight="true" outlineLevel="0" collapsed="false">
      <c r="A38" s="51" t="n">
        <v>36</v>
      </c>
      <c r="B38" s="32" t="s">
        <v>221</v>
      </c>
      <c r="C38" s="32" t="s">
        <v>174</v>
      </c>
      <c r="D38" s="30" t="n">
        <v>2</v>
      </c>
      <c r="E38" s="52" t="n">
        <v>1</v>
      </c>
      <c r="F38" s="30" t="n">
        <v>0</v>
      </c>
      <c r="G38" s="53" t="n">
        <v>0.5</v>
      </c>
      <c r="H38" s="30" t="n">
        <v>1</v>
      </c>
    </row>
    <row r="39" customFormat="false" ht="15" hidden="false" customHeight="true" outlineLevel="0" collapsed="false">
      <c r="A39" s="54" t="n">
        <v>37</v>
      </c>
      <c r="B39" s="28" t="s">
        <v>222</v>
      </c>
      <c r="C39" s="28" t="s">
        <v>207</v>
      </c>
      <c r="D39" s="27" t="n">
        <v>2</v>
      </c>
      <c r="E39" s="55" t="n">
        <v>1</v>
      </c>
      <c r="F39" s="27" t="n">
        <v>0</v>
      </c>
      <c r="G39" s="56" t="n">
        <v>0.5</v>
      </c>
      <c r="H39" s="27" t="n">
        <v>1</v>
      </c>
    </row>
    <row r="40" customFormat="false" ht="15" hidden="false" customHeight="true" outlineLevel="0" collapsed="false">
      <c r="A40" s="51" t="n">
        <v>38</v>
      </c>
      <c r="B40" s="32" t="s">
        <v>223</v>
      </c>
      <c r="C40" s="32" t="s">
        <v>224</v>
      </c>
      <c r="D40" s="30" t="n">
        <v>2</v>
      </c>
      <c r="E40" s="52" t="n">
        <v>1</v>
      </c>
      <c r="F40" s="30" t="n">
        <v>0</v>
      </c>
      <c r="G40" s="53" t="n">
        <v>0.5</v>
      </c>
      <c r="H40" s="30" t="n">
        <v>1</v>
      </c>
    </row>
    <row r="41" customFormat="false" ht="15" hidden="false" customHeight="true" outlineLevel="0" collapsed="false">
      <c r="A41" s="54" t="n">
        <v>39</v>
      </c>
      <c r="B41" s="28" t="s">
        <v>225</v>
      </c>
      <c r="C41" s="28" t="s">
        <v>224</v>
      </c>
      <c r="D41" s="27" t="n">
        <v>2</v>
      </c>
      <c r="E41" s="55" t="n">
        <v>1</v>
      </c>
      <c r="F41" s="27" t="n">
        <v>0</v>
      </c>
      <c r="G41" s="56" t="n">
        <v>0.5</v>
      </c>
      <c r="H41" s="27" t="n">
        <v>1</v>
      </c>
    </row>
    <row r="42" customFormat="false" ht="15" hidden="false" customHeight="true" outlineLevel="0" collapsed="false">
      <c r="A42" s="51" t="n">
        <v>40</v>
      </c>
      <c r="B42" s="32" t="s">
        <v>226</v>
      </c>
      <c r="C42" s="32" t="s">
        <v>176</v>
      </c>
      <c r="D42" s="30" t="n">
        <v>2</v>
      </c>
      <c r="E42" s="52" t="n">
        <v>1</v>
      </c>
      <c r="F42" s="30" t="n">
        <v>0</v>
      </c>
      <c r="G42" s="53" t="n">
        <v>0.5</v>
      </c>
      <c r="H42" s="30" t="n">
        <v>1</v>
      </c>
    </row>
    <row r="43" customFormat="false" ht="15" hidden="false" customHeight="true" outlineLevel="0" collapsed="false">
      <c r="A43" s="54" t="n">
        <v>41</v>
      </c>
      <c r="B43" s="28" t="s">
        <v>227</v>
      </c>
      <c r="C43" s="28" t="s">
        <v>188</v>
      </c>
      <c r="D43" s="27" t="n">
        <v>2</v>
      </c>
      <c r="E43" s="55" t="n">
        <v>1</v>
      </c>
      <c r="F43" s="27" t="n">
        <v>0</v>
      </c>
      <c r="G43" s="56" t="n">
        <v>0.5</v>
      </c>
      <c r="H43" s="27" t="n">
        <v>1</v>
      </c>
    </row>
    <row r="44" customFormat="false" ht="15" hidden="false" customHeight="true" outlineLevel="0" collapsed="false">
      <c r="A44" s="51" t="n">
        <v>42</v>
      </c>
      <c r="B44" s="32" t="s">
        <v>228</v>
      </c>
      <c r="C44" s="32" t="s">
        <v>170</v>
      </c>
      <c r="D44" s="30" t="n">
        <v>2</v>
      </c>
      <c r="E44" s="52" t="n">
        <v>1</v>
      </c>
      <c r="F44" s="30" t="n">
        <v>0</v>
      </c>
      <c r="G44" s="53" t="n">
        <v>0.5</v>
      </c>
      <c r="H44" s="30" t="n">
        <v>1</v>
      </c>
    </row>
    <row r="45" customFormat="false" ht="15" hidden="false" customHeight="true" outlineLevel="0" collapsed="false">
      <c r="A45" s="54" t="n">
        <v>43</v>
      </c>
      <c r="B45" s="28" t="s">
        <v>229</v>
      </c>
      <c r="C45" s="28" t="s">
        <v>224</v>
      </c>
      <c r="D45" s="27" t="n">
        <v>2</v>
      </c>
      <c r="E45" s="55" t="n">
        <v>1</v>
      </c>
      <c r="F45" s="27" t="n">
        <v>0</v>
      </c>
      <c r="G45" s="56" t="n">
        <v>0.5</v>
      </c>
      <c r="H45" s="27" t="n">
        <v>1</v>
      </c>
    </row>
    <row r="46" customFormat="false" ht="15" hidden="false" customHeight="true" outlineLevel="0" collapsed="false">
      <c r="A46" s="51" t="n">
        <v>44</v>
      </c>
      <c r="B46" s="32" t="s">
        <v>230</v>
      </c>
      <c r="C46" s="32" t="s">
        <v>180</v>
      </c>
      <c r="D46" s="30" t="n">
        <v>2</v>
      </c>
      <c r="E46" s="52" t="n">
        <v>1</v>
      </c>
      <c r="F46" s="30" t="n">
        <v>0</v>
      </c>
      <c r="G46" s="53" t="n">
        <v>0.5</v>
      </c>
      <c r="H46" s="30" t="n">
        <v>1</v>
      </c>
    </row>
    <row r="47" customFormat="false" ht="15" hidden="false" customHeight="true" outlineLevel="0" collapsed="false">
      <c r="A47" s="54" t="n">
        <v>45</v>
      </c>
      <c r="B47" s="28" t="s">
        <v>231</v>
      </c>
      <c r="C47" s="28" t="s">
        <v>188</v>
      </c>
      <c r="D47" s="27" t="n">
        <v>2</v>
      </c>
      <c r="E47" s="55" t="n">
        <v>1</v>
      </c>
      <c r="F47" s="27" t="n">
        <v>0</v>
      </c>
      <c r="G47" s="56" t="n">
        <v>0.5</v>
      </c>
      <c r="H47" s="27" t="n">
        <v>1</v>
      </c>
    </row>
    <row r="48" customFormat="false" ht="15" hidden="false" customHeight="true" outlineLevel="0" collapsed="false">
      <c r="A48" s="51" t="n">
        <v>46</v>
      </c>
      <c r="B48" s="32" t="s">
        <v>232</v>
      </c>
      <c r="C48" s="32" t="s">
        <v>233</v>
      </c>
      <c r="D48" s="30" t="n">
        <v>2</v>
      </c>
      <c r="E48" s="52" t="n">
        <v>1</v>
      </c>
      <c r="F48" s="30" t="n">
        <v>0</v>
      </c>
      <c r="G48" s="53" t="n">
        <v>0.5</v>
      </c>
      <c r="H48" s="30" t="n">
        <v>1</v>
      </c>
    </row>
    <row r="49" customFormat="false" ht="15" hidden="false" customHeight="true" outlineLevel="0" collapsed="false">
      <c r="A49" s="54" t="n">
        <v>47</v>
      </c>
      <c r="B49" s="28" t="s">
        <v>234</v>
      </c>
      <c r="C49" s="28" t="s">
        <v>194</v>
      </c>
      <c r="D49" s="27" t="n">
        <v>2</v>
      </c>
      <c r="E49" s="55" t="n">
        <v>1</v>
      </c>
      <c r="F49" s="27" t="n">
        <v>0</v>
      </c>
      <c r="G49" s="56" t="n">
        <v>0.5</v>
      </c>
      <c r="H49" s="27" t="n">
        <v>1</v>
      </c>
    </row>
    <row r="50" customFormat="false" ht="15" hidden="false" customHeight="true" outlineLevel="0" collapsed="false">
      <c r="A50" s="51" t="n">
        <v>48</v>
      </c>
      <c r="B50" s="32" t="s">
        <v>235</v>
      </c>
      <c r="C50" s="32" t="s">
        <v>176</v>
      </c>
      <c r="D50" s="30" t="n">
        <v>2</v>
      </c>
      <c r="E50" s="52" t="n">
        <v>1</v>
      </c>
      <c r="F50" s="30" t="n">
        <v>0</v>
      </c>
      <c r="G50" s="53" t="n">
        <v>0.5</v>
      </c>
      <c r="H50" s="30" t="n">
        <v>1</v>
      </c>
    </row>
    <row r="51" customFormat="false" ht="15" hidden="false" customHeight="true" outlineLevel="0" collapsed="false">
      <c r="A51" s="54" t="n">
        <v>49</v>
      </c>
      <c r="B51" s="28" t="s">
        <v>236</v>
      </c>
      <c r="C51" s="28" t="s">
        <v>174</v>
      </c>
      <c r="D51" s="27" t="n">
        <v>2</v>
      </c>
      <c r="E51" s="55" t="n">
        <v>1</v>
      </c>
      <c r="F51" s="27" t="n">
        <v>0</v>
      </c>
      <c r="G51" s="56" t="n">
        <v>0.5</v>
      </c>
      <c r="H51" s="27" t="n">
        <v>1</v>
      </c>
    </row>
    <row r="52" customFormat="false" ht="15" hidden="false" customHeight="true" outlineLevel="0" collapsed="false">
      <c r="A52" s="51" t="n">
        <v>50</v>
      </c>
      <c r="B52" s="32" t="s">
        <v>237</v>
      </c>
      <c r="C52" s="32" t="s">
        <v>238</v>
      </c>
      <c r="D52" s="30" t="n">
        <v>2</v>
      </c>
      <c r="E52" s="52" t="n">
        <v>1</v>
      </c>
      <c r="F52" s="30" t="n">
        <v>0</v>
      </c>
      <c r="G52" s="53" t="n">
        <v>0.5</v>
      </c>
      <c r="H52" s="30" t="n">
        <v>1</v>
      </c>
    </row>
    <row r="53" customFormat="false" ht="15" hidden="false" customHeight="false" outlineLevel="0" collapsed="false">
      <c r="A53" s="57"/>
      <c r="B53" s="57"/>
      <c r="C53" s="57"/>
      <c r="D53" s="57"/>
      <c r="E53" s="57"/>
      <c r="F53" s="57"/>
      <c r="G53" s="57"/>
      <c r="H53" s="57"/>
    </row>
    <row r="54" customFormat="false" ht="15" hidden="false" customHeight="false" outlineLevel="0" collapsed="false">
      <c r="A54" s="57"/>
      <c r="B54" s="57"/>
      <c r="C54" s="57"/>
      <c r="D54" s="57"/>
      <c r="E54" s="57"/>
      <c r="F54" s="57"/>
      <c r="G54" s="57"/>
      <c r="H54" s="57"/>
    </row>
    <row r="55" customFormat="false" ht="15" hidden="false" customHeight="false" outlineLevel="0" collapsed="false">
      <c r="A55" s="57"/>
      <c r="B55" s="57"/>
      <c r="C55" s="57"/>
      <c r="D55" s="57"/>
      <c r="E55" s="57"/>
      <c r="F55" s="57"/>
      <c r="G55" s="57"/>
      <c r="H55" s="57"/>
    </row>
    <row r="56" customFormat="false" ht="15" hidden="false" customHeight="false" outlineLevel="0" collapsed="false">
      <c r="A56" s="57"/>
      <c r="B56" s="57"/>
      <c r="C56" s="57"/>
      <c r="D56" s="57"/>
      <c r="E56" s="57"/>
      <c r="F56" s="57"/>
      <c r="G56" s="57"/>
      <c r="H56" s="57"/>
    </row>
    <row r="57" customFormat="false" ht="15" hidden="false" customHeight="false" outlineLevel="0" collapsed="false">
      <c r="A57" s="57"/>
      <c r="B57" s="57"/>
      <c r="C57" s="57"/>
      <c r="D57" s="57"/>
      <c r="E57" s="57"/>
      <c r="F57" s="57"/>
      <c r="G57" s="57"/>
      <c r="H57" s="57"/>
    </row>
    <row r="58" customFormat="false" ht="15" hidden="false" customHeight="false" outlineLevel="0" collapsed="false">
      <c r="A58" s="57"/>
      <c r="B58" s="57"/>
      <c r="C58" s="57"/>
      <c r="D58" s="57"/>
      <c r="E58" s="57"/>
      <c r="F58" s="57"/>
      <c r="G58" s="57"/>
      <c r="H58" s="57"/>
    </row>
    <row r="59" customFormat="false" ht="15" hidden="false" customHeight="false" outlineLevel="0" collapsed="false">
      <c r="A59" s="57"/>
      <c r="B59" s="57"/>
      <c r="C59" s="57"/>
      <c r="D59" s="57"/>
      <c r="E59" s="57"/>
      <c r="F59" s="57"/>
      <c r="G59" s="57"/>
      <c r="H59" s="57"/>
    </row>
    <row r="60" customFormat="false" ht="15" hidden="false" customHeight="false" outlineLevel="0" collapsed="false">
      <c r="A60" s="57"/>
      <c r="B60" s="57"/>
      <c r="C60" s="57"/>
      <c r="D60" s="57"/>
      <c r="E60" s="57"/>
      <c r="F60" s="57"/>
      <c r="G60" s="57"/>
      <c r="H60" s="57"/>
    </row>
    <row r="61" customFormat="false" ht="15" hidden="false" customHeight="false" outlineLevel="0" collapsed="false">
      <c r="A61" s="57"/>
      <c r="B61" s="57"/>
      <c r="C61" s="57"/>
      <c r="D61" s="57"/>
      <c r="E61" s="57"/>
      <c r="F61" s="57"/>
      <c r="G61" s="57"/>
      <c r="H61" s="57"/>
    </row>
    <row r="62" customFormat="false" ht="15" hidden="false" customHeight="false" outlineLevel="0" collapsed="false">
      <c r="A62" s="57"/>
      <c r="B62" s="57"/>
      <c r="C62" s="57"/>
      <c r="D62" s="57"/>
      <c r="E62" s="57"/>
      <c r="F62" s="57"/>
      <c r="G62" s="57"/>
      <c r="H62" s="57"/>
    </row>
    <row r="63" customFormat="false" ht="15" hidden="false" customHeight="false" outlineLevel="0" collapsed="false">
      <c r="A63" s="57"/>
      <c r="B63" s="57"/>
      <c r="C63" s="57"/>
      <c r="D63" s="57"/>
      <c r="E63" s="57"/>
      <c r="F63" s="57"/>
      <c r="G63" s="57"/>
      <c r="H63" s="57"/>
    </row>
    <row r="64" customFormat="false" ht="15" hidden="false" customHeight="false" outlineLevel="0" collapsed="false">
      <c r="A64" s="57"/>
      <c r="B64" s="57"/>
      <c r="C64" s="57"/>
      <c r="D64" s="57"/>
      <c r="E64" s="57"/>
      <c r="F64" s="57"/>
      <c r="G64" s="57"/>
      <c r="H64" s="5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4"/>
    <col collapsed="false" customWidth="true" hidden="false" outlineLevel="0" max="8" min="6" style="1" width="6"/>
    <col collapsed="false" customWidth="true" hidden="false" outlineLevel="0" max="9" min="9" style="1" width="10"/>
    <col collapsed="false" customWidth="true" hidden="false" outlineLevel="0" max="11" min="10" style="1" width="8"/>
  </cols>
  <sheetData>
    <row r="1" customFormat="false" ht="27.75" hidden="false" customHeight="true" outlineLevel="0" collapsed="false">
      <c r="A1" s="21" t="s">
        <v>239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18" hidden="false" customHeight="true" outlineLevel="0" collapsed="false">
      <c r="A2" s="22" t="s">
        <v>163</v>
      </c>
      <c r="B2" s="22" t="s">
        <v>164</v>
      </c>
      <c r="C2" s="22" t="s">
        <v>240</v>
      </c>
      <c r="D2" s="22" t="s">
        <v>241</v>
      </c>
      <c r="E2" s="22" t="s">
        <v>242</v>
      </c>
      <c r="F2" s="22" t="s">
        <v>243</v>
      </c>
      <c r="G2" s="22" t="s">
        <v>244</v>
      </c>
      <c r="H2" s="22" t="s">
        <v>245</v>
      </c>
      <c r="I2" s="22" t="s">
        <v>140</v>
      </c>
      <c r="J2" s="22" t="s">
        <v>246</v>
      </c>
      <c r="K2" s="22" t="s">
        <v>247</v>
      </c>
    </row>
    <row r="3" customFormat="false" ht="15.75" hidden="false" customHeight="true" outlineLevel="0" collapsed="false">
      <c r="A3" s="58" t="s">
        <v>40</v>
      </c>
      <c r="B3" s="16" t="n">
        <v>2</v>
      </c>
      <c r="C3" s="16" t="n">
        <v>1</v>
      </c>
      <c r="D3" s="16" t="n">
        <v>1</v>
      </c>
      <c r="E3" s="16" t="n">
        <v>0</v>
      </c>
      <c r="F3" s="16" t="n">
        <v>3</v>
      </c>
      <c r="G3" s="16" t="n">
        <v>1</v>
      </c>
      <c r="H3" s="23" t="n">
        <v>2</v>
      </c>
      <c r="I3" s="16" t="s">
        <v>248</v>
      </c>
      <c r="J3" s="59" t="n">
        <f aca="false">F3/B3</f>
        <v>1.5</v>
      </c>
      <c r="K3" s="59" t="n">
        <f aca="false">G3/B3</f>
        <v>0.5</v>
      </c>
    </row>
    <row r="4" customFormat="false" ht="15.75" hidden="false" customHeight="true" outlineLevel="0" collapsed="false">
      <c r="A4" s="58" t="s">
        <v>49</v>
      </c>
      <c r="B4" s="16" t="n">
        <v>2</v>
      </c>
      <c r="C4" s="16" t="n">
        <v>2</v>
      </c>
      <c r="D4" s="16" t="n">
        <v>0</v>
      </c>
      <c r="E4" s="16" t="n">
        <v>0</v>
      </c>
      <c r="F4" s="16" t="n">
        <v>5</v>
      </c>
      <c r="G4" s="16" t="n">
        <v>3</v>
      </c>
      <c r="H4" s="23" t="n">
        <v>2</v>
      </c>
      <c r="I4" s="16" t="s">
        <v>248</v>
      </c>
      <c r="J4" s="59" t="n">
        <f aca="false">F4/B4</f>
        <v>2.5</v>
      </c>
      <c r="K4" s="59" t="n">
        <f aca="false">G4/B4</f>
        <v>1.5</v>
      </c>
    </row>
    <row r="5" customFormat="false" ht="15.75" hidden="false" customHeight="true" outlineLevel="0" collapsed="false">
      <c r="A5" s="58" t="s">
        <v>141</v>
      </c>
      <c r="B5" s="16" t="n">
        <v>2</v>
      </c>
      <c r="C5" s="16" t="n">
        <v>1</v>
      </c>
      <c r="D5" s="16" t="n">
        <v>1</v>
      </c>
      <c r="E5" s="16" t="n">
        <v>0</v>
      </c>
      <c r="F5" s="16" t="n">
        <v>4</v>
      </c>
      <c r="G5" s="16" t="n">
        <v>3</v>
      </c>
      <c r="H5" s="23" t="n">
        <v>1</v>
      </c>
      <c r="I5" s="16" t="s">
        <v>248</v>
      </c>
      <c r="J5" s="59" t="n">
        <f aca="false">F5/B5</f>
        <v>2</v>
      </c>
      <c r="K5" s="59" t="n">
        <f aca="false">G5/B5</f>
        <v>1.5</v>
      </c>
    </row>
    <row r="6" customFormat="false" ht="15.75" hidden="false" customHeight="true" outlineLevel="0" collapsed="false">
      <c r="A6" s="58" t="s">
        <v>42</v>
      </c>
      <c r="B6" s="16" t="n">
        <v>2</v>
      </c>
      <c r="C6" s="16" t="n">
        <v>2</v>
      </c>
      <c r="D6" s="16" t="n">
        <v>0</v>
      </c>
      <c r="E6" s="16" t="n">
        <v>0</v>
      </c>
      <c r="F6" s="16" t="n">
        <v>8</v>
      </c>
      <c r="G6" s="16" t="n">
        <v>1</v>
      </c>
      <c r="H6" s="23" t="n">
        <v>7</v>
      </c>
      <c r="I6" s="16" t="s">
        <v>248</v>
      </c>
      <c r="J6" s="59" t="n">
        <f aca="false">F6/B6</f>
        <v>4</v>
      </c>
      <c r="K6" s="59" t="n">
        <f aca="false">G6/B6</f>
        <v>0.5</v>
      </c>
    </row>
    <row r="7" customFormat="false" ht="15.75" hidden="false" customHeight="true" outlineLevel="0" collapsed="false">
      <c r="A7" s="58" t="s">
        <v>46</v>
      </c>
      <c r="B7" s="16" t="n">
        <v>2</v>
      </c>
      <c r="C7" s="16" t="n">
        <v>1</v>
      </c>
      <c r="D7" s="16" t="n">
        <v>1</v>
      </c>
      <c r="E7" s="16" t="n">
        <v>0</v>
      </c>
      <c r="F7" s="16" t="n">
        <v>4</v>
      </c>
      <c r="G7" s="16" t="n">
        <v>2</v>
      </c>
      <c r="H7" s="23" t="n">
        <v>2</v>
      </c>
      <c r="I7" s="16" t="s">
        <v>248</v>
      </c>
      <c r="J7" s="59" t="n">
        <f aca="false">F7/B7</f>
        <v>2</v>
      </c>
      <c r="K7" s="59" t="n">
        <f aca="false">G7/B7</f>
        <v>1</v>
      </c>
    </row>
    <row r="8" customFormat="false" ht="15.75" hidden="false" customHeight="true" outlineLevel="0" collapsed="false">
      <c r="A8" s="58" t="s">
        <v>48</v>
      </c>
      <c r="B8" s="16" t="n">
        <v>2</v>
      </c>
      <c r="C8" s="16" t="n">
        <v>2</v>
      </c>
      <c r="D8" s="16" t="n">
        <v>0</v>
      </c>
      <c r="E8" s="16" t="n">
        <v>0</v>
      </c>
      <c r="F8" s="16" t="n">
        <v>13</v>
      </c>
      <c r="G8" s="16" t="n">
        <v>2</v>
      </c>
      <c r="H8" s="23" t="n">
        <v>11</v>
      </c>
      <c r="I8" s="16" t="s">
        <v>248</v>
      </c>
      <c r="J8" s="59" t="n">
        <f aca="false">F8/B8</f>
        <v>6.5</v>
      </c>
      <c r="K8" s="59" t="n">
        <f aca="false">G8/B8</f>
        <v>1</v>
      </c>
    </row>
    <row r="9" customFormat="false" ht="15.75" hidden="false" customHeight="true" outlineLevel="0" collapsed="false">
      <c r="A9" s="58" t="s">
        <v>21</v>
      </c>
      <c r="B9" s="16" t="n">
        <v>2</v>
      </c>
      <c r="C9" s="16" t="n">
        <v>1</v>
      </c>
      <c r="D9" s="16" t="n">
        <v>1</v>
      </c>
      <c r="E9" s="16" t="n">
        <v>0</v>
      </c>
      <c r="F9" s="16" t="n">
        <v>3</v>
      </c>
      <c r="G9" s="16" t="n">
        <v>1</v>
      </c>
      <c r="H9" s="23" t="n">
        <v>2</v>
      </c>
      <c r="I9" s="16" t="s">
        <v>248</v>
      </c>
      <c r="J9" s="59" t="n">
        <f aca="false">F9/B9</f>
        <v>1.5</v>
      </c>
      <c r="K9" s="59" t="n">
        <f aca="false">G9/B9</f>
        <v>0.5</v>
      </c>
    </row>
    <row r="10" customFormat="false" ht="15.75" hidden="false" customHeight="true" outlineLevel="0" collapsed="false">
      <c r="A10" s="58" t="s">
        <v>51</v>
      </c>
      <c r="B10" s="16" t="n">
        <v>2</v>
      </c>
      <c r="C10" s="16" t="n">
        <v>1</v>
      </c>
      <c r="D10" s="16" t="n">
        <v>1</v>
      </c>
      <c r="E10" s="16" t="n">
        <v>0</v>
      </c>
      <c r="F10" s="16" t="n">
        <v>5</v>
      </c>
      <c r="G10" s="16" t="n">
        <v>1</v>
      </c>
      <c r="H10" s="23" t="n">
        <v>4</v>
      </c>
      <c r="I10" s="16" t="s">
        <v>248</v>
      </c>
      <c r="J10" s="59" t="n">
        <f aca="false">F10/B10</f>
        <v>2.5</v>
      </c>
      <c r="K10" s="59" t="n">
        <f aca="false">G10/B10</f>
        <v>0.5</v>
      </c>
    </row>
    <row r="11" customFormat="false" ht="15.75" hidden="false" customHeight="true" outlineLevel="0" collapsed="false">
      <c r="A11" s="58" t="s">
        <v>54</v>
      </c>
      <c r="B11" s="16" t="n">
        <v>2</v>
      </c>
      <c r="C11" s="16" t="n">
        <v>1</v>
      </c>
      <c r="D11" s="16" t="n">
        <v>1</v>
      </c>
      <c r="E11" s="16" t="n">
        <v>0</v>
      </c>
      <c r="F11" s="16" t="n">
        <v>2</v>
      </c>
      <c r="G11" s="16" t="n">
        <v>1</v>
      </c>
      <c r="H11" s="23" t="n">
        <v>1</v>
      </c>
      <c r="I11" s="16" t="s">
        <v>248</v>
      </c>
      <c r="J11" s="59" t="n">
        <f aca="false">F11/B11</f>
        <v>1</v>
      </c>
      <c r="K11" s="59" t="n">
        <f aca="false">G11/B11</f>
        <v>0.5</v>
      </c>
    </row>
    <row r="12" customFormat="false" ht="15.75" hidden="false" customHeight="true" outlineLevel="0" collapsed="false">
      <c r="A12" s="58" t="s">
        <v>50</v>
      </c>
      <c r="B12" s="16" t="n">
        <v>2</v>
      </c>
      <c r="C12" s="16" t="n">
        <v>1</v>
      </c>
      <c r="D12" s="16" t="n">
        <v>1</v>
      </c>
      <c r="E12" s="16" t="n">
        <v>0</v>
      </c>
      <c r="F12" s="16" t="n">
        <v>6</v>
      </c>
      <c r="G12" s="16" t="n">
        <v>5</v>
      </c>
      <c r="H12" s="23" t="n">
        <v>1</v>
      </c>
      <c r="I12" s="16" t="s">
        <v>248</v>
      </c>
      <c r="J12" s="59" t="n">
        <f aca="false">F12/B12</f>
        <v>3</v>
      </c>
      <c r="K12" s="59" t="n">
        <f aca="false">G12/B12</f>
        <v>2.5</v>
      </c>
    </row>
    <row r="13" customFormat="false" ht="15.75" hidden="false" customHeight="true" outlineLevel="0" collapsed="false">
      <c r="A13" s="60" t="s">
        <v>44</v>
      </c>
      <c r="B13" s="61" t="n">
        <v>2</v>
      </c>
      <c r="C13" s="61" t="n">
        <v>0</v>
      </c>
      <c r="D13" s="61" t="n">
        <v>1</v>
      </c>
      <c r="E13" s="61" t="n">
        <v>1</v>
      </c>
      <c r="F13" s="61" t="n">
        <v>1</v>
      </c>
      <c r="G13" s="61" t="n">
        <v>3</v>
      </c>
      <c r="H13" s="62" t="n">
        <v>-2</v>
      </c>
      <c r="I13" s="61" t="s">
        <v>249</v>
      </c>
      <c r="J13" s="63" t="n">
        <f aca="false">F13/B13</f>
        <v>0.5</v>
      </c>
      <c r="K13" s="63" t="n">
        <f aca="false">G13/B13</f>
        <v>1.5</v>
      </c>
    </row>
    <row r="14" customFormat="false" ht="15.75" hidden="false" customHeight="true" outlineLevel="0" collapsed="false">
      <c r="A14" s="60" t="s">
        <v>18</v>
      </c>
      <c r="B14" s="61" t="n">
        <v>2</v>
      </c>
      <c r="C14" s="61" t="n">
        <v>0</v>
      </c>
      <c r="D14" s="61" t="n">
        <v>0</v>
      </c>
      <c r="E14" s="61" t="n">
        <v>2</v>
      </c>
      <c r="F14" s="61" t="n">
        <v>3</v>
      </c>
      <c r="G14" s="61" t="n">
        <v>5</v>
      </c>
      <c r="H14" s="62" t="n">
        <v>-2</v>
      </c>
      <c r="I14" s="61" t="s">
        <v>249</v>
      </c>
      <c r="J14" s="63" t="n">
        <f aca="false">F14/B14</f>
        <v>1.5</v>
      </c>
      <c r="K14" s="63" t="n">
        <f aca="false">G14/B14</f>
        <v>2.5</v>
      </c>
    </row>
    <row r="15" customFormat="false" ht="15.75" hidden="false" customHeight="true" outlineLevel="0" collapsed="false">
      <c r="A15" s="60" t="s">
        <v>38</v>
      </c>
      <c r="B15" s="61" t="n">
        <v>2</v>
      </c>
      <c r="C15" s="61" t="n">
        <v>0</v>
      </c>
      <c r="D15" s="61" t="n">
        <v>1</v>
      </c>
      <c r="E15" s="61" t="n">
        <v>1</v>
      </c>
      <c r="F15" s="61" t="n">
        <v>3</v>
      </c>
      <c r="G15" s="61" t="n">
        <v>4</v>
      </c>
      <c r="H15" s="62" t="n">
        <v>-1</v>
      </c>
      <c r="I15" s="61" t="s">
        <v>249</v>
      </c>
      <c r="J15" s="63" t="n">
        <f aca="false">F15/B15</f>
        <v>1.5</v>
      </c>
      <c r="K15" s="63" t="n">
        <f aca="false">G15/B15</f>
        <v>2</v>
      </c>
    </row>
    <row r="16" customFormat="false" ht="15.75" hidden="false" customHeight="true" outlineLevel="0" collapsed="false">
      <c r="A16" s="60" t="s">
        <v>55</v>
      </c>
      <c r="B16" s="61" t="n">
        <v>2</v>
      </c>
      <c r="C16" s="61" t="n">
        <v>0</v>
      </c>
      <c r="D16" s="61" t="n">
        <v>0</v>
      </c>
      <c r="E16" s="61" t="n">
        <v>2</v>
      </c>
      <c r="F16" s="61" t="n">
        <v>1</v>
      </c>
      <c r="G16" s="61" t="n">
        <v>8</v>
      </c>
      <c r="H16" s="62" t="n">
        <v>-7</v>
      </c>
      <c r="I16" s="61" t="s">
        <v>249</v>
      </c>
      <c r="J16" s="63" t="n">
        <f aca="false">F16/B16</f>
        <v>0.5</v>
      </c>
      <c r="K16" s="63" t="n">
        <f aca="false">G16/B16</f>
        <v>4</v>
      </c>
    </row>
    <row r="17" customFormat="false" ht="15.75" hidden="false" customHeight="true" outlineLevel="0" collapsed="false">
      <c r="A17" s="60" t="s">
        <v>25</v>
      </c>
      <c r="B17" s="61" t="n">
        <v>2</v>
      </c>
      <c r="C17" s="61" t="n">
        <v>0</v>
      </c>
      <c r="D17" s="61" t="n">
        <v>1</v>
      </c>
      <c r="E17" s="61" t="n">
        <v>1</v>
      </c>
      <c r="F17" s="61" t="n">
        <v>2</v>
      </c>
      <c r="G17" s="61" t="n">
        <v>4</v>
      </c>
      <c r="H17" s="62" t="n">
        <v>-2</v>
      </c>
      <c r="I17" s="61" t="s">
        <v>249</v>
      </c>
      <c r="J17" s="63" t="n">
        <f aca="false">F17/B17</f>
        <v>1</v>
      </c>
      <c r="K17" s="63" t="n">
        <f aca="false">G17/B17</f>
        <v>2</v>
      </c>
    </row>
    <row r="18" customFormat="false" ht="15.75" hidden="false" customHeight="true" outlineLevel="0" collapsed="false">
      <c r="A18" s="60" t="s">
        <v>14</v>
      </c>
      <c r="B18" s="61" t="n">
        <v>2</v>
      </c>
      <c r="C18" s="61" t="n">
        <v>0</v>
      </c>
      <c r="D18" s="61" t="n">
        <v>0</v>
      </c>
      <c r="E18" s="61" t="n">
        <v>2</v>
      </c>
      <c r="F18" s="61" t="n">
        <v>2</v>
      </c>
      <c r="G18" s="61" t="n">
        <v>13</v>
      </c>
      <c r="H18" s="62" t="n">
        <v>-11</v>
      </c>
      <c r="I18" s="61" t="s">
        <v>249</v>
      </c>
      <c r="J18" s="63" t="n">
        <f aca="false">F18/B18</f>
        <v>1</v>
      </c>
      <c r="K18" s="63" t="n">
        <f aca="false">G18/B18</f>
        <v>6.5</v>
      </c>
    </row>
    <row r="19" customFormat="false" ht="15.75" hidden="false" customHeight="true" outlineLevel="0" collapsed="false">
      <c r="A19" s="60" t="s">
        <v>53</v>
      </c>
      <c r="B19" s="61" t="n">
        <v>2</v>
      </c>
      <c r="C19" s="61" t="n">
        <v>0</v>
      </c>
      <c r="D19" s="61" t="n">
        <v>1</v>
      </c>
      <c r="E19" s="61" t="n">
        <v>1</v>
      </c>
      <c r="F19" s="61" t="n">
        <v>1</v>
      </c>
      <c r="G19" s="61" t="n">
        <v>3</v>
      </c>
      <c r="H19" s="62" t="n">
        <v>-2</v>
      </c>
      <c r="I19" s="61" t="s">
        <v>249</v>
      </c>
      <c r="J19" s="63" t="n">
        <f aca="false">F19/B19</f>
        <v>0.5</v>
      </c>
      <c r="K19" s="63" t="n">
        <f aca="false">G19/B19</f>
        <v>1.5</v>
      </c>
    </row>
    <row r="20" customFormat="false" ht="15.75" hidden="false" customHeight="true" outlineLevel="0" collapsed="false">
      <c r="A20" s="60" t="s">
        <v>45</v>
      </c>
      <c r="B20" s="61" t="n">
        <v>2</v>
      </c>
      <c r="C20" s="61" t="n">
        <v>0</v>
      </c>
      <c r="D20" s="61" t="n">
        <v>1</v>
      </c>
      <c r="E20" s="61" t="n">
        <v>1</v>
      </c>
      <c r="F20" s="61" t="n">
        <v>1</v>
      </c>
      <c r="G20" s="61" t="n">
        <v>5</v>
      </c>
      <c r="H20" s="62" t="n">
        <v>-4</v>
      </c>
      <c r="I20" s="61" t="s">
        <v>249</v>
      </c>
      <c r="J20" s="63" t="n">
        <f aca="false">F20/B20</f>
        <v>0.5</v>
      </c>
      <c r="K20" s="63" t="n">
        <f aca="false">G20/B20</f>
        <v>2.5</v>
      </c>
    </row>
    <row r="21" customFormat="false" ht="15.75" hidden="false" customHeight="true" outlineLevel="0" collapsed="false">
      <c r="A21" s="60" t="s">
        <v>32</v>
      </c>
      <c r="B21" s="61" t="n">
        <v>2</v>
      </c>
      <c r="C21" s="61" t="n">
        <v>0</v>
      </c>
      <c r="D21" s="61" t="n">
        <v>1</v>
      </c>
      <c r="E21" s="61" t="n">
        <v>1</v>
      </c>
      <c r="F21" s="61" t="n">
        <v>1</v>
      </c>
      <c r="G21" s="61" t="n">
        <v>2</v>
      </c>
      <c r="H21" s="62" t="n">
        <v>-1</v>
      </c>
      <c r="I21" s="61" t="s">
        <v>249</v>
      </c>
      <c r="J21" s="63" t="n">
        <f aca="false">F21/B21</f>
        <v>0.5</v>
      </c>
      <c r="K21" s="63" t="n">
        <f aca="false">G21/B21</f>
        <v>1</v>
      </c>
    </row>
    <row r="22" customFormat="false" ht="15.75" hidden="false" customHeight="true" outlineLevel="0" collapsed="false">
      <c r="A22" s="60" t="s">
        <v>43</v>
      </c>
      <c r="B22" s="61" t="n">
        <v>2</v>
      </c>
      <c r="C22" s="61" t="n">
        <v>0</v>
      </c>
      <c r="D22" s="61" t="n">
        <v>1</v>
      </c>
      <c r="E22" s="61" t="n">
        <v>1</v>
      </c>
      <c r="F22" s="61" t="n">
        <v>5</v>
      </c>
      <c r="G22" s="61" t="n">
        <v>6</v>
      </c>
      <c r="H22" s="62" t="n">
        <v>-1</v>
      </c>
      <c r="I22" s="61" t="s">
        <v>249</v>
      </c>
      <c r="J22" s="63" t="n">
        <f aca="false">F22/B22</f>
        <v>2.5</v>
      </c>
      <c r="K22" s="63" t="n">
        <f aca="false">G22/B22</f>
        <v>3</v>
      </c>
    </row>
    <row r="23" customFormat="false" ht="18" hidden="false" customHeight="true" outlineLevel="0" collapsed="false">
      <c r="A23" s="64" t="s">
        <v>250</v>
      </c>
      <c r="B23" s="65" t="n">
        <f aca="false">SUM(B3:B22)</f>
        <v>40</v>
      </c>
      <c r="C23" s="65" t="n">
        <f aca="false">SUM(C3:C22)</f>
        <v>13</v>
      </c>
      <c r="D23" s="65" t="n">
        <f aca="false">SUM(D3:D22)</f>
        <v>14</v>
      </c>
      <c r="E23" s="65" t="n">
        <f aca="false">SUM(E3:E22)</f>
        <v>13</v>
      </c>
      <c r="F23" s="65" t="n">
        <f aca="false">SUM(F3:F22)</f>
        <v>73</v>
      </c>
      <c r="G23" s="65" t="n">
        <f aca="false">SUM(G3:G22)</f>
        <v>73</v>
      </c>
      <c r="H23" s="12"/>
      <c r="I23" s="12"/>
      <c r="J23" s="12"/>
      <c r="K23" s="12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36"/>
    <col collapsed="false" customWidth="true" hidden="false" outlineLevel="0" max="4" min="4" style="1" width="20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7"/>
  </cols>
  <sheetData>
    <row r="1" customFormat="false" ht="27.75" hidden="false" customHeight="true" outlineLevel="0" collapsed="false">
      <c r="A1" s="21" t="s">
        <v>251</v>
      </c>
      <c r="B1" s="21"/>
      <c r="C1" s="21"/>
      <c r="D1" s="21"/>
      <c r="E1" s="21"/>
      <c r="F1" s="21"/>
      <c r="G1" s="21"/>
      <c r="H1" s="21"/>
    </row>
    <row r="2" customFormat="false" ht="18" hidden="false" customHeight="true" outlineLevel="0" collapsed="false">
      <c r="A2" s="22" t="s">
        <v>57</v>
      </c>
      <c r="B2" s="22" t="s">
        <v>252</v>
      </c>
      <c r="C2" s="22" t="s">
        <v>253</v>
      </c>
      <c r="D2" s="22" t="s">
        <v>254</v>
      </c>
      <c r="E2" s="22" t="s">
        <v>255</v>
      </c>
      <c r="F2" s="22" t="s">
        <v>256</v>
      </c>
      <c r="G2" s="22" t="s">
        <v>257</v>
      </c>
      <c r="H2" s="22" t="s">
        <v>13</v>
      </c>
    </row>
    <row r="3" customFormat="false" ht="15.75" hidden="false" customHeight="true" outlineLevel="0" collapsed="false">
      <c r="A3" s="18" t="n">
        <v>1</v>
      </c>
      <c r="B3" s="17" t="s">
        <v>41</v>
      </c>
      <c r="C3" s="17" t="s">
        <v>54</v>
      </c>
      <c r="D3" s="17" t="s">
        <v>258</v>
      </c>
      <c r="E3" s="18" t="s">
        <v>259</v>
      </c>
      <c r="F3" s="18" t="s">
        <v>260</v>
      </c>
      <c r="G3" s="17" t="s">
        <v>261</v>
      </c>
      <c r="H3" s="18" t="s">
        <v>262</v>
      </c>
    </row>
    <row r="4" customFormat="false" ht="15.75" hidden="false" customHeight="true" outlineLevel="0" collapsed="false">
      <c r="A4" s="20" t="n">
        <v>2</v>
      </c>
      <c r="B4" s="19" t="s">
        <v>46</v>
      </c>
      <c r="C4" s="19" t="s">
        <v>10</v>
      </c>
      <c r="D4" s="19" t="s">
        <v>263</v>
      </c>
      <c r="E4" s="20" t="s">
        <v>264</v>
      </c>
      <c r="F4" s="20" t="s">
        <v>260</v>
      </c>
      <c r="G4" s="19" t="s">
        <v>265</v>
      </c>
      <c r="H4" s="20" t="s">
        <v>262</v>
      </c>
    </row>
    <row r="5" customFormat="false" ht="15.75" hidden="false" customHeight="true" outlineLevel="0" collapsed="false">
      <c r="A5" s="18" t="n">
        <v>3</v>
      </c>
      <c r="B5" s="17" t="s">
        <v>35</v>
      </c>
      <c r="C5" s="17" t="s">
        <v>50</v>
      </c>
      <c r="D5" s="17" t="s">
        <v>263</v>
      </c>
      <c r="E5" s="18" t="s">
        <v>259</v>
      </c>
      <c r="F5" s="18" t="s">
        <v>266</v>
      </c>
      <c r="G5" s="17" t="s">
        <v>265</v>
      </c>
      <c r="H5" s="18" t="s">
        <v>262</v>
      </c>
    </row>
    <row r="6" customFormat="false" ht="15.75" hidden="false" customHeight="true" outlineLevel="0" collapsed="false">
      <c r="A6" s="20" t="n">
        <v>4</v>
      </c>
      <c r="B6" s="19" t="s">
        <v>48</v>
      </c>
      <c r="C6" s="19" t="s">
        <v>40</v>
      </c>
      <c r="D6" s="19" t="s">
        <v>267</v>
      </c>
      <c r="E6" s="20" t="s">
        <v>268</v>
      </c>
      <c r="F6" s="20" t="s">
        <v>260</v>
      </c>
      <c r="G6" s="19" t="s">
        <v>269</v>
      </c>
      <c r="H6" s="20" t="s">
        <v>262</v>
      </c>
    </row>
    <row r="7" customFormat="false" ht="15.75" hidden="false" customHeight="true" outlineLevel="0" collapsed="false">
      <c r="A7" s="18" t="n">
        <v>5</v>
      </c>
      <c r="B7" s="17" t="s">
        <v>52</v>
      </c>
      <c r="C7" s="17" t="s">
        <v>141</v>
      </c>
      <c r="D7" s="17" t="s">
        <v>270</v>
      </c>
      <c r="E7" s="18" t="s">
        <v>264</v>
      </c>
      <c r="F7" s="18" t="s">
        <v>271</v>
      </c>
      <c r="G7" s="17" t="s">
        <v>272</v>
      </c>
      <c r="H7" s="18" t="s">
        <v>262</v>
      </c>
    </row>
    <row r="8" customFormat="false" ht="15.75" hidden="false" customHeight="true" outlineLevel="0" collapsed="false">
      <c r="A8" s="20" t="n">
        <v>6</v>
      </c>
      <c r="B8" s="19" t="s">
        <v>42</v>
      </c>
      <c r="C8" s="19" t="s">
        <v>47</v>
      </c>
      <c r="D8" s="19" t="s">
        <v>273</v>
      </c>
      <c r="E8" s="20" t="s">
        <v>264</v>
      </c>
      <c r="F8" s="20" t="s">
        <v>266</v>
      </c>
      <c r="G8" s="19" t="s">
        <v>274</v>
      </c>
      <c r="H8" s="20" t="s">
        <v>262</v>
      </c>
    </row>
    <row r="9" customFormat="false" ht="15.75" hidden="false" customHeight="true" outlineLevel="0" collapsed="false">
      <c r="A9" s="18" t="n">
        <v>7</v>
      </c>
      <c r="B9" s="17" t="s">
        <v>49</v>
      </c>
      <c r="C9" s="17" t="s">
        <v>51</v>
      </c>
      <c r="D9" s="17" t="s">
        <v>275</v>
      </c>
      <c r="E9" s="18" t="s">
        <v>264</v>
      </c>
      <c r="F9" s="18" t="s">
        <v>260</v>
      </c>
      <c r="G9" s="17" t="s">
        <v>276</v>
      </c>
      <c r="H9" s="18" t="s">
        <v>262</v>
      </c>
    </row>
    <row r="10" customFormat="false" ht="15.75" hidden="false" customHeight="true" outlineLevel="0" collapsed="false">
      <c r="A10" s="20" t="n">
        <v>8</v>
      </c>
      <c r="B10" s="19" t="s">
        <v>21</v>
      </c>
      <c r="C10" s="19" t="s">
        <v>39</v>
      </c>
      <c r="D10" s="19" t="s">
        <v>277</v>
      </c>
      <c r="E10" s="20" t="s">
        <v>259</v>
      </c>
      <c r="F10" s="20" t="s">
        <v>266</v>
      </c>
      <c r="G10" s="19" t="s">
        <v>278</v>
      </c>
      <c r="H10" s="20" t="s">
        <v>262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22"/>
  </cols>
  <sheetData>
    <row r="1" customFormat="false" ht="27.75" hidden="false" customHeight="true" outlineLevel="0" collapsed="false">
      <c r="A1" s="21" t="s">
        <v>279</v>
      </c>
      <c r="B1" s="21"/>
      <c r="C1" s="21"/>
      <c r="D1" s="21"/>
    </row>
    <row r="2" customFormat="false" ht="18" hidden="false" customHeight="true" outlineLevel="0" collapsed="false">
      <c r="A2" s="22" t="s">
        <v>66</v>
      </c>
      <c r="B2" s="22" t="s">
        <v>280</v>
      </c>
      <c r="C2" s="22" t="s">
        <v>281</v>
      </c>
      <c r="D2" s="22" t="s">
        <v>282</v>
      </c>
    </row>
    <row r="3" customFormat="false" ht="15" hidden="false" customHeight="true" outlineLevel="0" collapsed="false">
      <c r="A3" s="17" t="s">
        <v>73</v>
      </c>
      <c r="B3" s="18" t="n">
        <v>1</v>
      </c>
      <c r="C3" s="18" t="s">
        <v>67</v>
      </c>
      <c r="D3" s="18" t="s">
        <v>283</v>
      </c>
    </row>
    <row r="4" customFormat="false" ht="15" hidden="false" customHeight="true" outlineLevel="0" collapsed="false">
      <c r="A4" s="19" t="s">
        <v>77</v>
      </c>
      <c r="B4" s="20" t="n">
        <v>1</v>
      </c>
      <c r="C4" s="20" t="s">
        <v>67</v>
      </c>
      <c r="D4" s="20" t="s">
        <v>283</v>
      </c>
    </row>
    <row r="5" customFormat="false" ht="15" hidden="false" customHeight="true" outlineLevel="0" collapsed="false">
      <c r="A5" s="17" t="s">
        <v>80</v>
      </c>
      <c r="B5" s="18" t="n">
        <v>1</v>
      </c>
      <c r="C5" s="18" t="s">
        <v>67</v>
      </c>
      <c r="D5" s="18" t="s">
        <v>284</v>
      </c>
    </row>
    <row r="6" customFormat="false" ht="15" hidden="false" customHeight="true" outlineLevel="0" collapsed="false">
      <c r="A6" s="19" t="s">
        <v>84</v>
      </c>
      <c r="B6" s="20" t="n">
        <v>1</v>
      </c>
      <c r="C6" s="20" t="s">
        <v>67</v>
      </c>
      <c r="D6" s="20" t="s">
        <v>285</v>
      </c>
    </row>
    <row r="7" customFormat="false" ht="15" hidden="false" customHeight="true" outlineLevel="0" collapsed="false">
      <c r="A7" s="17" t="s">
        <v>86</v>
      </c>
      <c r="B7" s="18" t="n">
        <v>1</v>
      </c>
      <c r="C7" s="18" t="s">
        <v>67</v>
      </c>
      <c r="D7" s="18" t="s">
        <v>285</v>
      </c>
    </row>
    <row r="8" customFormat="false" ht="15" hidden="false" customHeight="true" outlineLevel="0" collapsed="false">
      <c r="A8" s="19" t="s">
        <v>89</v>
      </c>
      <c r="B8" s="20" t="n">
        <v>1</v>
      </c>
      <c r="C8" s="20" t="s">
        <v>67</v>
      </c>
      <c r="D8" s="20" t="s">
        <v>286</v>
      </c>
    </row>
    <row r="9" customFormat="false" ht="15" hidden="false" customHeight="true" outlineLevel="0" collapsed="false">
      <c r="A9" s="17" t="s">
        <v>91</v>
      </c>
      <c r="B9" s="18" t="n">
        <v>1</v>
      </c>
      <c r="C9" s="18" t="s">
        <v>67</v>
      </c>
      <c r="D9" s="18" t="s">
        <v>284</v>
      </c>
    </row>
    <row r="10" customFormat="false" ht="15" hidden="false" customHeight="true" outlineLevel="0" collapsed="false">
      <c r="A10" s="19" t="s">
        <v>93</v>
      </c>
      <c r="B10" s="20" t="n">
        <v>2</v>
      </c>
      <c r="C10" s="20" t="s">
        <v>287</v>
      </c>
      <c r="D10" s="20" t="s">
        <v>288</v>
      </c>
    </row>
    <row r="11" customFormat="false" ht="15" hidden="false" customHeight="true" outlineLevel="0" collapsed="false">
      <c r="A11" s="17" t="s">
        <v>96</v>
      </c>
      <c r="B11" s="18" t="n">
        <v>1</v>
      </c>
      <c r="C11" s="18" t="s">
        <v>67</v>
      </c>
      <c r="D11" s="18" t="s">
        <v>286</v>
      </c>
    </row>
    <row r="12" customFormat="false" ht="15" hidden="false" customHeight="true" outlineLevel="0" collapsed="false">
      <c r="A12" s="19" t="s">
        <v>100</v>
      </c>
      <c r="B12" s="20" t="n">
        <v>1</v>
      </c>
      <c r="C12" s="20" t="s">
        <v>67</v>
      </c>
      <c r="D12" s="20" t="s">
        <v>284</v>
      </c>
    </row>
    <row r="13" customFormat="false" ht="15" hidden="false" customHeight="true" outlineLevel="0" collapsed="false">
      <c r="A13" s="17" t="s">
        <v>105</v>
      </c>
      <c r="B13" s="18" t="n">
        <v>1</v>
      </c>
      <c r="C13" s="18" t="s">
        <v>101</v>
      </c>
      <c r="D13" s="18" t="s">
        <v>284</v>
      </c>
    </row>
    <row r="14" customFormat="false" ht="15" hidden="false" customHeight="true" outlineLevel="0" collapsed="false">
      <c r="A14" s="19" t="s">
        <v>107</v>
      </c>
      <c r="B14" s="20" t="n">
        <v>1</v>
      </c>
      <c r="C14" s="20" t="s">
        <v>101</v>
      </c>
      <c r="D14" s="20" t="s">
        <v>289</v>
      </c>
    </row>
    <row r="15" customFormat="false" ht="15" hidden="false" customHeight="true" outlineLevel="0" collapsed="false">
      <c r="A15" s="17" t="s">
        <v>109</v>
      </c>
      <c r="B15" s="18" t="n">
        <v>1</v>
      </c>
      <c r="C15" s="18" t="s">
        <v>101</v>
      </c>
      <c r="D15" s="18" t="s">
        <v>289</v>
      </c>
    </row>
    <row r="16" customFormat="false" ht="15" hidden="false" customHeight="true" outlineLevel="0" collapsed="false">
      <c r="A16" s="19" t="s">
        <v>111</v>
      </c>
      <c r="B16" s="20" t="n">
        <v>1</v>
      </c>
      <c r="C16" s="20" t="s">
        <v>101</v>
      </c>
      <c r="D16" s="20" t="s">
        <v>285</v>
      </c>
    </row>
    <row r="17" customFormat="false" ht="15" hidden="false" customHeight="true" outlineLevel="0" collapsed="false">
      <c r="A17" s="17" t="s">
        <v>116</v>
      </c>
      <c r="B17" s="18" t="n">
        <v>1</v>
      </c>
      <c r="C17" s="18" t="s">
        <v>101</v>
      </c>
      <c r="D17" s="18" t="s">
        <v>290</v>
      </c>
    </row>
    <row r="18" customFormat="false" ht="15" hidden="false" customHeight="true" outlineLevel="0" collapsed="false">
      <c r="A18" s="19" t="s">
        <v>120</v>
      </c>
      <c r="B18" s="20" t="n">
        <v>1</v>
      </c>
      <c r="C18" s="20" t="s">
        <v>101</v>
      </c>
      <c r="D18" s="20" t="s">
        <v>288</v>
      </c>
    </row>
    <row r="19" customFormat="false" ht="15" hidden="false" customHeight="true" outlineLevel="0" collapsed="false">
      <c r="A19" s="17" t="s">
        <v>124</v>
      </c>
      <c r="B19" s="18" t="n">
        <v>1</v>
      </c>
      <c r="C19" s="18" t="s">
        <v>101</v>
      </c>
      <c r="D19" s="18" t="s">
        <v>285</v>
      </c>
    </row>
    <row r="20" customFormat="false" ht="15" hidden="false" customHeight="true" outlineLevel="0" collapsed="false">
      <c r="A20" s="19" t="s">
        <v>126</v>
      </c>
      <c r="B20" s="20" t="n">
        <v>1</v>
      </c>
      <c r="C20" s="20" t="s">
        <v>101</v>
      </c>
      <c r="D20" s="20" t="s">
        <v>283</v>
      </c>
    </row>
    <row r="21" customFormat="false" ht="15" hidden="false" customHeight="true" outlineLevel="0" collapsed="false">
      <c r="A21" s="17" t="s">
        <v>129</v>
      </c>
      <c r="B21" s="18" t="n">
        <v>1</v>
      </c>
      <c r="C21" s="18" t="s">
        <v>101</v>
      </c>
      <c r="D21" s="18" t="s">
        <v>289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2026-05-20T19:52:39Z</dcterms:created>
  <dc:creator>openpyxl</dc:creator>
  <dc:description/>
  <dc:language>en-US</dc:language>
  <cp:lastModifiedBy/>
  <dcterms:modified xsi:type="dcterms:W3CDTF">2026-05-21T10:05:03Z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